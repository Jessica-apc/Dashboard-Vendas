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8A46F76A-FD8A-423B-AE60-E7B89237FE64}" xr6:coauthVersionLast="47" xr6:coauthVersionMax="47" xr10:uidLastSave="{00000000-0000-0000-0000-000000000000}"/>
  <bookViews>
    <workbookView xWindow="0" yWindow="0" windowWidth="16384" windowHeight="8192" tabRatio="500" firstSheet="2" activeTab="2" xr2:uid="{00000000-000D-0000-FFFF-FFFF00000000}"/>
  </bookViews>
  <sheets>
    <sheet name="Dashboard" sheetId="1" r:id="rId1"/>
    <sheet name="Dados" sheetId="2" r:id="rId2"/>
    <sheet name="Análise" sheetId="3" r:id="rId3"/>
  </sheets>
  <definedNames>
    <definedName name="_xlnm._FilterDatabase" localSheetId="1" hidden="1">Dados!$A$1:$J$321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8" i="3" l="1"/>
  <c r="C57" i="3"/>
  <c r="C56" i="3"/>
  <c r="C55" i="3"/>
  <c r="C54" i="3"/>
  <c r="C53" i="3"/>
  <c r="C52" i="3"/>
  <c r="C51" i="3"/>
  <c r="C50" i="3"/>
  <c r="C49" i="3"/>
  <c r="C48" i="3"/>
  <c r="C47" i="3"/>
  <c r="C46" i="3"/>
  <c r="C41" i="3"/>
  <c r="C40" i="3"/>
  <c r="C39" i="3"/>
  <c r="C38" i="3"/>
  <c r="C37" i="3"/>
  <c r="C36" i="3"/>
  <c r="J321" i="2"/>
  <c r="I321" i="2"/>
  <c r="J320" i="2"/>
  <c r="I320" i="2"/>
  <c r="J319" i="2"/>
  <c r="I319" i="2"/>
  <c r="J318" i="2"/>
  <c r="I318" i="2"/>
  <c r="J317" i="2"/>
  <c r="I317" i="2"/>
  <c r="J316" i="2"/>
  <c r="I316" i="2"/>
  <c r="J315" i="2"/>
  <c r="I315" i="2"/>
  <c r="J314" i="2"/>
  <c r="I314" i="2"/>
  <c r="J313" i="2"/>
  <c r="I313" i="2"/>
  <c r="J312" i="2"/>
  <c r="I312" i="2"/>
  <c r="J311" i="2"/>
  <c r="I311" i="2"/>
  <c r="J310" i="2"/>
  <c r="I310" i="2"/>
  <c r="J309" i="2"/>
  <c r="I309" i="2"/>
  <c r="J308" i="2"/>
  <c r="I308" i="2"/>
  <c r="J307" i="2"/>
  <c r="I307" i="2"/>
  <c r="J306" i="2"/>
  <c r="I306" i="2"/>
  <c r="J305" i="2"/>
  <c r="I305" i="2"/>
  <c r="J304" i="2"/>
  <c r="I304" i="2"/>
  <c r="J303" i="2"/>
  <c r="I303" i="2"/>
  <c r="J302" i="2"/>
  <c r="I302" i="2"/>
  <c r="J301" i="2"/>
  <c r="I301" i="2"/>
  <c r="J300" i="2"/>
  <c r="I300" i="2"/>
  <c r="J299" i="2"/>
  <c r="I299" i="2"/>
  <c r="J298" i="2"/>
  <c r="I298" i="2"/>
  <c r="J297" i="2"/>
  <c r="I297" i="2"/>
  <c r="J296" i="2"/>
  <c r="I296" i="2"/>
  <c r="J295" i="2"/>
  <c r="I295" i="2"/>
  <c r="J294" i="2"/>
  <c r="I294" i="2"/>
  <c r="J293" i="2"/>
  <c r="I293" i="2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J283" i="2"/>
  <c r="I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B56" i="3" s="1"/>
  <c r="J51" i="2"/>
  <c r="I51" i="2"/>
  <c r="J50" i="2"/>
  <c r="I50" i="2"/>
  <c r="J49" i="2"/>
  <c r="I49" i="2"/>
  <c r="J48" i="2"/>
  <c r="I48" i="2"/>
  <c r="J47" i="2"/>
  <c r="I47" i="2"/>
  <c r="J46" i="2"/>
  <c r="I46" i="2"/>
  <c r="B57" i="3" s="1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B48" i="3" s="1"/>
  <c r="J21" i="2"/>
  <c r="I21" i="2"/>
  <c r="J20" i="2"/>
  <c r="I20" i="2"/>
  <c r="J19" i="2"/>
  <c r="I19" i="2"/>
  <c r="B55" i="3" s="1"/>
  <c r="J18" i="2"/>
  <c r="I18" i="2"/>
  <c r="J17" i="2"/>
  <c r="I17" i="2"/>
  <c r="B54" i="3" s="1"/>
  <c r="J16" i="2"/>
  <c r="I16" i="2"/>
  <c r="J15" i="2"/>
  <c r="I15" i="2"/>
  <c r="B47" i="3" s="1"/>
  <c r="J14" i="2"/>
  <c r="I14" i="2"/>
  <c r="J13" i="2"/>
  <c r="I13" i="2"/>
  <c r="B40" i="3" s="1"/>
  <c r="D40" i="3" s="1"/>
  <c r="J12" i="2"/>
  <c r="I12" i="2"/>
  <c r="B49" i="3" s="1"/>
  <c r="J11" i="2"/>
  <c r="I11" i="2"/>
  <c r="J10" i="2"/>
  <c r="I10" i="2"/>
  <c r="J9" i="2"/>
  <c r="I9" i="2"/>
  <c r="J8" i="2"/>
  <c r="I8" i="2"/>
  <c r="J7" i="2"/>
  <c r="I7" i="2"/>
  <c r="B37" i="3" s="1"/>
  <c r="D37" i="3" s="1"/>
  <c r="J6" i="2"/>
  <c r="I6" i="2"/>
  <c r="B41" i="3" s="1"/>
  <c r="D41" i="3" s="1"/>
  <c r="J5" i="2"/>
  <c r="I5" i="2"/>
  <c r="J4" i="2"/>
  <c r="I4" i="2"/>
  <c r="B22" i="3" s="1"/>
  <c r="J3" i="2"/>
  <c r="I3" i="2"/>
  <c r="J2" i="2"/>
  <c r="I2" i="2"/>
  <c r="J6" i="1"/>
  <c r="G6" i="1"/>
  <c r="D6" i="1"/>
  <c r="A6" i="1"/>
  <c r="B52" i="3" l="1"/>
  <c r="B38" i="3"/>
  <c r="D38" i="3" s="1"/>
  <c r="B31" i="3"/>
  <c r="B23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B53" i="3"/>
  <c r="B28" i="3"/>
  <c r="B19" i="3"/>
  <c r="B58" i="3"/>
  <c r="B36" i="3"/>
  <c r="D36" i="3" s="1"/>
  <c r="B21" i="3"/>
  <c r="B51" i="3"/>
  <c r="B29" i="3"/>
  <c r="B20" i="3"/>
  <c r="B50" i="3"/>
  <c r="B30" i="3"/>
  <c r="B46" i="3"/>
  <c r="B39" i="3"/>
  <c r="D39" i="3" s="1"/>
</calcChain>
</file>

<file path=xl/sharedStrings.xml><?xml version="1.0" encoding="utf-8"?>
<sst xmlns="http://schemas.openxmlformats.org/spreadsheetml/2006/main" count="1677" uniqueCount="274">
  <si>
    <t>DASHBOARD DE VENDAS 2024</t>
  </si>
  <si>
    <t>Dados fictícios de exemplo — período: jan/2024 a dez/2024. Atualize a aba 'Dados' para refletir números reais.</t>
  </si>
  <si>
    <t>RECEITA TOTAL</t>
  </si>
  <si>
    <t>PEDIDOS</t>
  </si>
  <si>
    <t>TICKET MÉDIO</t>
  </si>
  <si>
    <t>UNIDADES VENDIDAS</t>
  </si>
  <si>
    <t>Evolução Mensal, Regiões, Categorias e Ranking</t>
  </si>
  <si>
    <t>ID Pedido</t>
  </si>
  <si>
    <t>Data</t>
  </si>
  <si>
    <t>Vendedor</t>
  </si>
  <si>
    <t>Região</t>
  </si>
  <si>
    <t>Categoria</t>
  </si>
  <si>
    <t>Produto</t>
  </si>
  <si>
    <t>Quantidade</t>
  </si>
  <si>
    <t>Preço Unitário</t>
  </si>
  <si>
    <t>Valor Total</t>
  </si>
  <si>
    <t>Mês</t>
  </si>
  <si>
    <t>2024-01-01</t>
  </si>
  <si>
    <t>Carla Dias</t>
  </si>
  <si>
    <t>Sul</t>
  </si>
  <si>
    <t>Papelaria</t>
  </si>
  <si>
    <t>Kit Canetas</t>
  </si>
  <si>
    <t>2024-01-02</t>
  </si>
  <si>
    <t>Centro-Oeste</t>
  </si>
  <si>
    <t>Eletrodomésticos</t>
  </si>
  <si>
    <t>Liquidificador</t>
  </si>
  <si>
    <t>Sudeste</t>
  </si>
  <si>
    <t>2024-01-05</t>
  </si>
  <si>
    <t>Ana Souza</t>
  </si>
  <si>
    <t>Norte</t>
  </si>
  <si>
    <t>Ventilador</t>
  </si>
  <si>
    <t>2024-01-07</t>
  </si>
  <si>
    <t>Fábio Nunes</t>
  </si>
  <si>
    <t>Bruno Lima</t>
  </si>
  <si>
    <t>2024-01-09</t>
  </si>
  <si>
    <t>Nordeste</t>
  </si>
  <si>
    <t>Eletrônicos</t>
  </si>
  <si>
    <t>Fone Bluetooth</t>
  </si>
  <si>
    <t>Móveis</t>
  </si>
  <si>
    <t>Estante</t>
  </si>
  <si>
    <t>2024-01-10</t>
  </si>
  <si>
    <t>2024-01-11</t>
  </si>
  <si>
    <t>Diego Alves</t>
  </si>
  <si>
    <t>Agenda</t>
  </si>
  <si>
    <t>2024-01-14</t>
  </si>
  <si>
    <t>Cafeteira</t>
  </si>
  <si>
    <t>Elaine Rocha</t>
  </si>
  <si>
    <t>2024-01-15</t>
  </si>
  <si>
    <t>2024-01-16</t>
  </si>
  <si>
    <t>Cadeira Escritório</t>
  </si>
  <si>
    <t>2024-01-18</t>
  </si>
  <si>
    <t>2024-01-19</t>
  </si>
  <si>
    <t>Mesa de Escritório</t>
  </si>
  <si>
    <t>2024-01-21</t>
  </si>
  <si>
    <t>Notebook</t>
  </si>
  <si>
    <t>2024-01-22</t>
  </si>
  <si>
    <t>2024-01-24</t>
  </si>
  <si>
    <t>Caderno</t>
  </si>
  <si>
    <t>2024-01-26</t>
  </si>
  <si>
    <t>2024-01-27</t>
  </si>
  <si>
    <t>2024-01-28</t>
  </si>
  <si>
    <t>2024-01-30</t>
  </si>
  <si>
    <t>2024-01-31</t>
  </si>
  <si>
    <t>2024-02-02</t>
  </si>
  <si>
    <t>2024-02-05</t>
  </si>
  <si>
    <t>2024-02-06</t>
  </si>
  <si>
    <t>2024-02-08</t>
  </si>
  <si>
    <t>2024-02-09</t>
  </si>
  <si>
    <t>2024-02-10</t>
  </si>
  <si>
    <t>2024-02-11</t>
  </si>
  <si>
    <t>2024-02-16</t>
  </si>
  <si>
    <t>2024-02-17</t>
  </si>
  <si>
    <t>2024-02-19</t>
  </si>
  <si>
    <t>2024-02-20</t>
  </si>
  <si>
    <t>2024-02-22</t>
  </si>
  <si>
    <t>Smartwatch</t>
  </si>
  <si>
    <t>2024-02-26</t>
  </si>
  <si>
    <t>2024-02-27</t>
  </si>
  <si>
    <t>2024-02-28</t>
  </si>
  <si>
    <t>2024-02-29</t>
  </si>
  <si>
    <t>Smartphone</t>
  </si>
  <si>
    <t>2024-03-02</t>
  </si>
  <si>
    <t>2024-03-04</t>
  </si>
  <si>
    <t>2024-03-05</t>
  </si>
  <si>
    <t>2024-03-07</t>
  </si>
  <si>
    <t>2024-03-10</t>
  </si>
  <si>
    <t>2024-03-11</t>
  </si>
  <si>
    <t>2024-03-15</t>
  </si>
  <si>
    <t>2024-03-16</t>
  </si>
  <si>
    <t>2024-03-17</t>
  </si>
  <si>
    <t>2024-03-19</t>
  </si>
  <si>
    <t>2024-03-20</t>
  </si>
  <si>
    <t>2024-03-22</t>
  </si>
  <si>
    <t>2024-03-23</t>
  </si>
  <si>
    <t>2024-03-24</t>
  </si>
  <si>
    <t>2024-03-30</t>
  </si>
  <si>
    <t>2024-03-31</t>
  </si>
  <si>
    <t>2024-04-01</t>
  </si>
  <si>
    <t>2024-04-02</t>
  </si>
  <si>
    <t>2024-04-07</t>
  </si>
  <si>
    <t>2024-04-08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</si>
  <si>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</si>
  <si>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</si>
  <si>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</si>
  <si>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</si>
  <si>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</si>
  <si>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</si>
  <si>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</si>
  <si>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2024-04-22</t>
  </si>
  <si>
    <t>2024-04-23</t>
  </si>
  <si>
    <t>2024-04-25</t>
  </si>
  <si>
    <t>2024-04-27</t>
  </si>
  <si>
    <t>2024-04-28</t>
  </si>
  <si>
    <t>2024-05-05</t>
  </si>
  <si>
    <t>2024-05-06</t>
  </si>
  <si>
    <t>2024-05-07</t>
  </si>
  <si>
    <t>2024-05-08</t>
  </si>
  <si>
    <t>2024-05-09</t>
  </si>
  <si>
    <t>2024-05-15</t>
  </si>
  <si>
    <t>2024-05-16</t>
  </si>
  <si>
    <t>2024-05-18</t>
  </si>
  <si>
    <t>2024-05-19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</si>
  <si>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</si>
  <si>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</si>
  <si>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</si>
  <si>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</si>
  <si>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</si>
  <si>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</si>
  <si>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</si>
  <si>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</si>
  <si>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2024-05-30</t>
  </si>
  <si>
    <t>2024-06-01</t>
  </si>
  <si>
    <t>2024-06-03</t>
  </si>
  <si>
    <t>2024-06-04</t>
  </si>
  <si>
    <t>2024-06-07</t>
  </si>
  <si>
    <t>2024-06-09</t>
  </si>
  <si>
    <t>2024-06-10</t>
  </si>
  <si>
    <t>2024-06-12</t>
  </si>
  <si>
    <t>2024-06-13</t>
  </si>
  <si>
    <t>2024-06-14</t>
  </si>
  <si>
    <t>2024-06-15</t>
  </si>
  <si>
    <t>2024-06-18</t>
  </si>
  <si>
    <t>2024-06-21</t>
  </si>
  <si>
    <t>2024-06-22</t>
  </si>
  <si>
    <t>2024-06-23</t>
  </si>
  <si>
    <t>2024-06-25</t>
  </si>
  <si>
    <t>2024-06-26</t>
  </si>
  <si>
    <t>2024-06-29</t>
  </si>
  <si>
    <t>2024-07-02</t>
  </si>
  <si>
    <t>2024-07-04</t>
  </si>
  <si>
    <t>2024-07-05</t>
  </si>
  <si>
    <t>2024-07-07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</si>
  <si>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</si>
  <si>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</si>
  <si>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</si>
  <si>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</si>
  <si>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</si>
  <si>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</si>
  <si>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</si>
  <si>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2024-07-18</t>
  </si>
  <si>
    <t>2024-07-20</t>
  </si>
  <si>
    <t>2024-07-21</t>
  </si>
  <si>
    <t>2024-07-22</t>
  </si>
  <si>
    <t>2024-07-23</t>
  </si>
  <si>
    <t>2024-07-25</t>
  </si>
  <si>
    <t>2024-07-27</t>
  </si>
  <si>
    <t>2024-07-28</t>
  </si>
  <si>
    <t>2024-07-29</t>
  </si>
  <si>
    <t>2024-07-31</t>
  </si>
  <si>
    <t>2024-08-02</t>
  </si>
  <si>
    <t>2024-08-06</t>
  </si>
  <si>
    <t>2024-08-07</t>
  </si>
  <si>
    <t>2024-08-10</t>
  </si>
  <si>
    <t>2024-08-12</t>
  </si>
  <si>
    <t>2024-08-14</t>
  </si>
  <si>
    <t>2024-08-16</t>
  </si>
  <si>
    <t>2024-08-18</t>
  </si>
  <si>
    <t>2024-08-20</t>
  </si>
  <si>
    <t>2024-08-21</t>
  </si>
  <si>
    <t>2024-08-23</t>
  </si>
  <si>
    <t>2024-08-24</t>
  </si>
  <si>
    <t>2024-08-25</t>
  </si>
  <si>
    <t>2024-08-26</t>
  </si>
  <si>
    <t>2024-08-27</t>
  </si>
  <si>
    <t>2024-08-30</t>
  </si>
  <si>
    <t>2024-09-04</t>
  </si>
  <si>
    <t>2024-09-05</t>
  </si>
  <si>
    <t>2024-09-13</t>
  </si>
  <si>
    <t>2024-09-15</t>
  </si>
  <si>
    <t>2024-09-18</t>
  </si>
  <si>
    <t>2024-09-19</t>
  </si>
  <si>
    <t>2024-09-20</t>
  </si>
  <si>
    <t>2024-09-21</t>
  </si>
  <si>
    <t>2024-09-22</t>
  </si>
  <si>
    <t>2024-09-25</t>
  </si>
  <si>
    <t>2024-09-26</t>
  </si>
  <si>
    <t>2024-09-27</t>
  </si>
  <si>
    <t>2024-09-28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</si>
  <si>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</si>
  <si>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</si>
  <si>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</si>
  <si>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</si>
  <si>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</si>
  <si>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</si>
  <si>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</si>
  <si>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2024-10-12</t>
  </si>
  <si>
    <t>2024-10-14</t>
  </si>
  <si>
    <t>2024-10-15</t>
  </si>
  <si>
    <t>2024-10-18</t>
  </si>
  <si>
    <t>2024-10-19</t>
  </si>
  <si>
    <t>2024-10-21</t>
  </si>
  <si>
    <t>2024-10-22</t>
  </si>
  <si>
    <t>2024-10-27</t>
  </si>
  <si>
    <t>2024-10-28</t>
  </si>
  <si>
    <t>2024-10-30</t>
  </si>
  <si>
    <t>2024-10-31</t>
  </si>
  <si>
    <t>2024-11-01</t>
  </si>
  <si>
    <t>2024-11-02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</si>
  <si>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</si>
  <si>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</si>
  <si>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</si>
  <si>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</si>
  <si>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</si>
  <si>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</si>
  <si>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</si>
  <si>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</si>
  <si>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2024-11-14</t>
  </si>
  <si>
    <t>2024-11-15</t>
  </si>
  <si>
    <t>2024-11-17</t>
  </si>
  <si>
    <t>2024-11-18</t>
  </si>
  <si>
    <t>2024-11-23</t>
  </si>
  <si>
    <t>2024-11-24</t>
  </si>
  <si>
    <t>2024-11-25</t>
  </si>
  <si>
    <t>2024-11-26</t>
  </si>
  <si>
    <t>2024-11-27</t>
  </si>
  <si>
    <t>2024-11-29</t>
  </si>
  <si>
    <t>2024-11-30</t>
  </si>
  <si>
    <t>2024-12-02</t>
  </si>
  <si>
    <t>2024-12-03</t>
  </si>
  <si>
    <t>2024-12-05</t>
  </si>
  <si>
    <t>2024-12-09</t>
  </si>
  <si>
    <t>2024-12-10</t>
  </si>
  <si>
    <t>2024-12-12</t>
  </si>
  <si>
    <t>2024-12-13</t>
  </si>
  <si>
    <t>2024-12-15</t>
  </si>
  <si>
    <t>2024-12-19</t>
  </si>
  <si>
    <t>2024-12-20</t>
  </si>
  <si>
    <t>2024-12-22</t>
  </si>
  <si>
    <t>2024-12-24</t>
  </si>
  <si>
    <t>2024-12-27</t>
  </si>
  <si>
    <t>2024-12-28</t>
  </si>
  <si>
    <t>2024-12-30</t>
  </si>
  <si>
    <t>2024-12-31</t>
  </si>
  <si>
    <t>Vendas por Mês</t>
  </si>
  <si>
    <t>Receita</t>
  </si>
  <si>
    <t>Pedidos</t>
  </si>
  <si>
    <t>Chave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</si>
  <si>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</si>
  <si>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</si>
  <si>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</si>
  <si>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</si>
  <si>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</si>
  <si>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</si>
  <si>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</si>
  <si>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</si>
  <si>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</si>
  <si>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</si>
  <si>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</si>
  <si>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</si>
  <si>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Vendas por Região</t>
  </si>
  <si>
    <t>Vendas por Categoria</t>
  </si>
  <si>
    <t>Ranking de Vendedores</t>
  </si>
  <si>
    <t>Ticket Médio</t>
  </si>
  <si>
    <t>Vendas por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</si>
</sst>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b/>
      <sz val="10"/>
      <color rgb="FFFFFFFF"/>
      <name val="Arial"/>
      <charset val="1"/>
    </font>
    <font>
      <b/>
      <sz val="20"/>
      <color rgb="FFFFFFFF"/>
      <name val="Arial"/>
      <charset val="1"/>
    </font>
    <font>
      <b/>
      <sz val="11"/>
      <color rgb="FFFFFFFF"/>
      <name val="Arial"/>
      <charset val="1"/>
    </font>
    <font>
      <i/>
      <sz val="10"/>
      <color theme="7" tint="0.39997558519241921"/>
      <name val="Arial"/>
      <charset val="1"/>
    </font>
    <font>
      <b/>
      <sz val="12"/>
      <color theme="7" tint="-0.249977111117893"/>
      <name val="Arial"/>
      <charset val="1"/>
    </font>
    <font>
      <sz val="11"/>
      <color theme="7" tint="-0.249977111117893"/>
      <name val="Calibri"/>
      <family val="2"/>
      <charset val="1"/>
    </font>
    <font>
      <sz val="10"/>
      <color theme="7" tint="-0.499984740745262"/>
      <name val="Arial"/>
      <charset val="1"/>
    </font>
    <font>
      <b/>
      <sz val="12"/>
      <color theme="7" tint="-0.499984740745262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E5EAA"/>
        <bgColor rgb="FF4A7EBB"/>
      </patternFill>
    </fill>
    <fill>
      <patternFill patternType="solid">
        <fgColor rgb="FF2E9E5B"/>
        <bgColor rgb="FF008080"/>
      </patternFill>
    </fill>
    <fill>
      <patternFill patternType="solid">
        <fgColor rgb="FFE07A2F"/>
        <bgColor rgb="FFFF8080"/>
      </patternFill>
    </fill>
    <fill>
      <patternFill patternType="solid">
        <fgColor rgb="FF6B4FA0"/>
        <bgColor rgb="FF8064A2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20">
    <xf numFmtId="0" fontId="0" fillId="0" borderId="0" xfId="0"/>
    <xf numFmtId="4" fontId="3" fillId="2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4" fontId="3" fillId="4" borderId="0" xfId="0" applyNumberFormat="1" applyFont="1" applyFill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6" fillId="0" borderId="0" xfId="0" applyFont="1"/>
    <xf numFmtId="0" fontId="7" fillId="0" borderId="0" xfId="0" applyFont="1"/>
    <xf numFmtId="0" fontId="4" fillId="6" borderId="0" xfId="0" applyFont="1" applyFill="1" applyAlignment="1">
      <alignment horizontal="center"/>
    </xf>
    <xf numFmtId="0" fontId="4" fillId="6" borderId="0" xfId="0" applyFont="1" applyFill="1"/>
    <xf numFmtId="0" fontId="8" fillId="0" borderId="1" xfId="0" applyFont="1" applyBorder="1"/>
    <xf numFmtId="14" fontId="8" fillId="0" borderId="1" xfId="0" applyNumberFormat="1" applyFont="1" applyBorder="1"/>
    <xf numFmtId="4" fontId="8" fillId="0" borderId="1" xfId="0" applyNumberFormat="1" applyFont="1" applyBorder="1"/>
    <xf numFmtId="0" fontId="9" fillId="0" borderId="0" xfId="0" applyFont="1"/>
    <xf numFmtId="0" fontId="4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7C3D0"/>
      <rgbColor rgb="FF878787"/>
      <rgbColor rgb="FF9999FF"/>
      <rgbColor rgb="FFC0504D"/>
      <rgbColor rgb="FFF9F9F9"/>
      <rgbColor rgb="FFCCFFFF"/>
      <rgbColor rgb="FF660066"/>
      <rgbColor rgb="FFFF8080"/>
      <rgbColor rgb="FF2E5EA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E07A2F"/>
      <rgbColor rgb="FF8064A2"/>
      <rgbColor rgb="FF4F81BD"/>
      <rgbColor rgb="FF003366"/>
      <rgbColor rgb="FF2E9E5B"/>
      <rgbColor rgb="FF003300"/>
      <rgbColor rgb="FF333300"/>
      <rgbColor rgb="FF993300"/>
      <rgbColor rgb="FF993366"/>
      <rgbColor rgb="FF6B4FA0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8064A2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Receita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Análise!B2</c:f>
              <c:strCache>
                <c:ptCount val="1"/>
                <c:pt idx="0">
                  <c:v>Receita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pPr>
              <a:solidFill>
                <a:srgbClr val="8064A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Análise!$A$3:$A$14</c:f>
              <c:strCache>
                <c:ptCount val="12"/>
                <c:pt idx="0">
                  <c:v>jan/24</c:v>
                </c:pt>
                <c:pt idx="1">
                  <c:v>fev/24</c:v>
                </c:pt>
                <c:pt idx="2">
                  <c:v>mar/24</c:v>
                </c:pt>
                <c:pt idx="3">
                  <c:v>abr/24</c:v>
                </c:pt>
                <c:pt idx="4">
                  <c:v>mai/24</c:v>
                </c:pt>
                <c:pt idx="5">
                  <c:v>jun/24</c:v>
                </c:pt>
                <c:pt idx="6">
                  <c:v>jul/24</c:v>
                </c:pt>
                <c:pt idx="7">
                  <c:v>ago/24</c:v>
                </c:pt>
                <c:pt idx="8">
                  <c:v>set/24</c:v>
                </c:pt>
                <c:pt idx="9">
                  <c:v>out/24</c:v>
                </c:pt>
                <c:pt idx="10">
                  <c:v>nov/24</c:v>
                </c:pt>
                <c:pt idx="11">
                  <c:v>dez/24</c:v>
                </c:pt>
              </c:strCache>
            </c:strRef>
          </c:cat>
          <c:val>
            <c:numRef>
              <c:f>Análise!$B$3:$B$14</c:f>
              <c:numCache>
                <c:formatCode>#,##0.00</c:formatCode>
                <c:ptCount val="12"/>
                <c:pt idx="0">
                  <c:v>51480.560000000005</c:v>
                </c:pt>
                <c:pt idx="1">
                  <c:v>64042.62</c:v>
                </c:pt>
                <c:pt idx="2">
                  <c:v>61096.909999999996</c:v>
                </c:pt>
                <c:pt idx="3">
                  <c:v>49857.97</c:v>
                </c:pt>
                <c:pt idx="4">
                  <c:v>119765.86</c:v>
                </c:pt>
                <c:pt idx="5">
                  <c:v>84387.810000000012</c:v>
                </c:pt>
                <c:pt idx="6">
                  <c:v>82219.730000000025</c:v>
                </c:pt>
                <c:pt idx="7">
                  <c:v>82631.739999999976</c:v>
                </c:pt>
                <c:pt idx="8">
                  <c:v>47679.820000000007</c:v>
                </c:pt>
                <c:pt idx="9">
                  <c:v>198558.6</c:v>
                </c:pt>
                <c:pt idx="10">
                  <c:v>185837.48</c:v>
                </c:pt>
                <c:pt idx="11">
                  <c:v>51312.889999999992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1D-4D3D-9E67-0EB9C243D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6028423"/>
        <c:axId val="13611278"/>
      </c:lineChart>
      <c:catAx>
        <c:axId val="660284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611278"/>
        <c:crosses val="autoZero"/>
        <c:auto val="1"/>
        <c:lblAlgn val="ctr"/>
        <c:lblOffset val="100"/>
        <c:noMultiLvlLbl val="0"/>
      </c:catAx>
      <c:valAx>
        <c:axId val="136112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Receita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0284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Receita por Região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Análise!B18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8064A2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Análise!$A$19:$A$23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Análise!$B$19:$B$23</c:f>
              <c:numCache>
                <c:formatCode>#,##0.00</c:formatCode>
                <c:ptCount val="5"/>
                <c:pt idx="0">
                  <c:v>231233.98999999996</c:v>
                </c:pt>
                <c:pt idx="1">
                  <c:v>219465.78999999998</c:v>
                </c:pt>
                <c:pt idx="2">
                  <c:v>230502.65</c:v>
                </c:pt>
                <c:pt idx="3">
                  <c:v>212229.56000000003</c:v>
                </c:pt>
                <c:pt idx="4">
                  <c:v>185440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9-4E9F-8973-FF3AA9D1B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859996"/>
        <c:axId val="15641875"/>
      </c:barChart>
      <c:catAx>
        <c:axId val="258599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641875"/>
        <c:crosses val="autoZero"/>
        <c:auto val="1"/>
        <c:lblAlgn val="ctr"/>
        <c:lblOffset val="100"/>
        <c:noMultiLvlLbl val="0"/>
      </c:catAx>
      <c:valAx>
        <c:axId val="156418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Receita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8599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Receita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Análise!B27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4C6-495E-BF66-F2A19C6E556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4C6-495E-BF66-F2A19C6E556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4C6-495E-BF66-F2A19C6E556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4C6-495E-BF66-F2A19C6E556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C6-495E-BF66-F2A19C6E556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C6-495E-BF66-F2A19C6E556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C6-495E-BF66-F2A19C6E556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4C6-495E-BF66-F2A19C6E55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Análise!$A$28:$A$31</c:f>
              <c:strCache>
                <c:ptCount val="4"/>
                <c:pt idx="0">
                  <c:v>Eletrodomésticos</c:v>
                </c:pt>
                <c:pt idx="1">
                  <c:v>Eletrônicos</c:v>
                </c:pt>
                <c:pt idx="2">
                  <c:v>Móveis</c:v>
                </c:pt>
                <c:pt idx="3">
                  <c:v>Papelaria</c:v>
                </c:pt>
              </c:strCache>
            </c:strRef>
          </c:cat>
          <c:val>
            <c:numRef>
              <c:f>Análise!$B$28:$B$31</c:f>
              <c:numCache>
                <c:formatCode>#,##0.00</c:formatCode>
                <c:ptCount val="4"/>
                <c:pt idx="0">
                  <c:v>100839.95</c:v>
                </c:pt>
                <c:pt idx="1">
                  <c:v>675355.60999999987</c:v>
                </c:pt>
                <c:pt idx="2">
                  <c:v>288548.94999999995</c:v>
                </c:pt>
                <c:pt idx="3">
                  <c:v>14127.479999999998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6-495E-BF66-F2A19C6E5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Receita por Vendedor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Análise!B35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Análise!$A$36:$A$41</c:f>
              <c:strCache>
                <c:ptCount val="6"/>
                <c:pt idx="0">
                  <c:v>Ana Souza</c:v>
                </c:pt>
                <c:pt idx="1">
                  <c:v>Bruno Lima</c:v>
                </c:pt>
                <c:pt idx="2">
                  <c:v>Carla Dias</c:v>
                </c:pt>
                <c:pt idx="3">
                  <c:v>Diego Alves</c:v>
                </c:pt>
                <c:pt idx="4">
                  <c:v>Elaine Rocha</c:v>
                </c:pt>
                <c:pt idx="5">
                  <c:v>Fábio Nunes</c:v>
                </c:pt>
              </c:strCache>
            </c:strRef>
          </c:cat>
          <c:val>
            <c:numRef>
              <c:f>Análise!$B$36:$B$41</c:f>
              <c:numCache>
                <c:formatCode>#,##0.00</c:formatCode>
                <c:ptCount val="6"/>
                <c:pt idx="0">
                  <c:v>142375.54000000004</c:v>
                </c:pt>
                <c:pt idx="1">
                  <c:v>214665.30999999994</c:v>
                </c:pt>
                <c:pt idx="2">
                  <c:v>193790.86000000002</c:v>
                </c:pt>
                <c:pt idx="3">
                  <c:v>138858.88</c:v>
                </c:pt>
                <c:pt idx="4">
                  <c:v>203141.75999999998</c:v>
                </c:pt>
                <c:pt idx="5">
                  <c:v>186039.63999999996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1-44F6-A8F2-A59832E01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492385"/>
        <c:axId val="66340345"/>
      </c:barChart>
      <c:catAx>
        <c:axId val="6149238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340345"/>
        <c:crosses val="autoZero"/>
        <c:auto val="1"/>
        <c:lblAlgn val="ctr"/>
        <c:lblOffset val="100"/>
        <c:noMultiLvlLbl val="0"/>
      </c:catAx>
      <c:valAx>
        <c:axId val="6634034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Receita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4923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8</xdr:col>
      <xdr:colOff>196200</xdr:colOff>
      <xdr:row>25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0</xdr:rowOff>
    </xdr:from>
    <xdr:to>
      <xdr:col>14</xdr:col>
      <xdr:colOff>453960</xdr:colOff>
      <xdr:row>25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8</xdr:col>
      <xdr:colOff>196200</xdr:colOff>
      <xdr:row>42</xdr:row>
      <xdr:rowOff>21960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27</xdr:row>
      <xdr:rowOff>0</xdr:rowOff>
    </xdr:from>
    <xdr:to>
      <xdr:col>14</xdr:col>
      <xdr:colOff>453960</xdr:colOff>
      <xdr:row>42</xdr:row>
      <xdr:rowOff>21960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L9"/>
  <sheetViews>
    <sheetView showGridLines="0" zoomScale="90" zoomScaleNormal="90" workbookViewId="0">
      <selection activeCell="R7" sqref="R7"/>
    </sheetView>
  </sheetViews>
  <sheetFormatPr defaultColWidth="8.7109375" defaultRowHeight="15"/>
  <cols>
    <col min="1" max="12" width="10.5703125" customWidth="1"/>
  </cols>
  <sheetData>
    <row r="1" spans="1:1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ht="19.5" customHeight="1">
      <c r="A5" s="5" t="s">
        <v>2</v>
      </c>
      <c r="B5" s="5"/>
      <c r="C5" s="5"/>
      <c r="D5" s="6" t="s">
        <v>3</v>
      </c>
      <c r="E5" s="6"/>
      <c r="F5" s="6"/>
      <c r="G5" s="7" t="s">
        <v>4</v>
      </c>
      <c r="H5" s="7"/>
      <c r="I5" s="7"/>
      <c r="J5" s="8" t="s">
        <v>5</v>
      </c>
      <c r="K5" s="8"/>
      <c r="L5" s="8"/>
    </row>
    <row r="6" spans="1:12" ht="30" customHeight="1">
      <c r="A6" s="1">
        <f>SUM(Dados!I2:I321)</f>
        <v>1078871.9900000002</v>
      </c>
      <c r="B6" s="1"/>
      <c r="C6" s="1"/>
      <c r="D6" s="2">
        <f>COUNTA(Dados!A2:A321)</f>
        <v>320</v>
      </c>
      <c r="E6" s="2"/>
      <c r="F6" s="2"/>
      <c r="G6" s="3">
        <f>SUM(Dados!I2:I321)/COUNTA(Dados!A2:A321)</f>
        <v>3371.4749687500007</v>
      </c>
      <c r="H6" s="3"/>
      <c r="I6" s="3"/>
      <c r="J6" s="4">
        <f>SUM(Dados!G2:G321)</f>
        <v>2189</v>
      </c>
      <c r="K6" s="4"/>
      <c r="L6" s="4"/>
    </row>
    <row r="7" spans="1:12" ht="19.5" customHeight="1">
      <c r="A7" s="1"/>
      <c r="B7" s="1"/>
      <c r="C7" s="1"/>
      <c r="D7" s="2"/>
      <c r="E7" s="2"/>
      <c r="F7" s="2"/>
      <c r="G7" s="3"/>
      <c r="H7" s="3"/>
      <c r="I7" s="3"/>
      <c r="J7" s="4"/>
      <c r="K7" s="4"/>
      <c r="L7" s="4"/>
    </row>
    <row r="9" spans="1:12" s="12" customFormat="1" ht="15.75">
      <c r="A9" s="11" t="s">
        <v>6</v>
      </c>
    </row>
  </sheetData>
  <mergeCells count="10">
    <mergeCell ref="A6:C7"/>
    <mergeCell ref="D6:F7"/>
    <mergeCell ref="G6:I7"/>
    <mergeCell ref="J6:L7"/>
    <mergeCell ref="A1:L2"/>
    <mergeCell ref="A3:L3"/>
    <mergeCell ref="A5:C5"/>
    <mergeCell ref="D5:F5"/>
    <mergeCell ref="G5:I5"/>
    <mergeCell ref="J5:L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J321"/>
  <sheetViews>
    <sheetView zoomScaleNormal="100" workbookViewId="0">
      <pane ySplit="1" topLeftCell="A249" activePane="bottomLeft" state="frozen"/>
      <selection pane="bottomLeft" activeCell="M313" sqref="M313"/>
    </sheetView>
  </sheetViews>
  <sheetFormatPr defaultColWidth="8.7109375" defaultRowHeight="15"/>
  <cols>
    <col min="1" max="1" width="16.28515625" customWidth="1"/>
    <col min="2" max="2" width="12" customWidth="1"/>
    <col min="3" max="3" width="16" customWidth="1"/>
    <col min="4" max="4" width="15" customWidth="1"/>
    <col min="5" max="5" width="18" customWidth="1"/>
    <col min="6" max="6" width="20" customWidth="1"/>
    <col min="7" max="7" width="17.28515625" customWidth="1"/>
    <col min="8" max="8" width="19.42578125" customWidth="1"/>
    <col min="9" max="9" width="14" customWidth="1"/>
    <col min="10" max="10" width="10" customWidth="1"/>
  </cols>
  <sheetData>
    <row r="1" spans="1:10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13" t="s">
        <v>13</v>
      </c>
      <c r="H1" s="13" t="s">
        <v>14</v>
      </c>
      <c r="I1" s="14" t="s">
        <v>15</v>
      </c>
      <c r="J1" s="14" t="s">
        <v>16</v>
      </c>
    </row>
    <row r="2" spans="1:10">
      <c r="A2" s="15">
        <v>1023</v>
      </c>
      <c r="B2" s="16" t="s">
        <v>17</v>
      </c>
      <c r="C2" s="15" t="s">
        <v>18</v>
      </c>
      <c r="D2" s="15" t="s">
        <v>19</v>
      </c>
      <c r="E2" s="15" t="s">
        <v>20</v>
      </c>
      <c r="F2" s="15" t="s">
        <v>21</v>
      </c>
      <c r="G2" s="15">
        <v>6</v>
      </c>
      <c r="H2" s="17">
        <v>23.06</v>
      </c>
      <c r="I2" s="17">
        <f>G2*H2</f>
        <v>138.35999999999999</v>
      </c>
      <c r="J2" s="15">
        <f>YEAR(B2)*100+MONTH(B2)</f>
        <v>202401</v>
      </c>
    </row>
    <row r="3" spans="1:10">
      <c r="A3" s="15">
        <v>1039</v>
      </c>
      <c r="B3" s="16" t="s">
        <v>22</v>
      </c>
      <c r="C3" s="15" t="s">
        <v>18</v>
      </c>
      <c r="D3" s="15" t="s">
        <v>23</v>
      </c>
      <c r="E3" s="15" t="s">
        <v>24</v>
      </c>
      <c r="F3" s="15" t="s">
        <v>25</v>
      </c>
      <c r="G3" s="15">
        <v>8</v>
      </c>
      <c r="H3" s="17">
        <v>166.47</v>
      </c>
      <c r="I3" s="17">
        <f>G3*H3</f>
        <v>1331.76</v>
      </c>
      <c r="J3" s="15">
        <f>YEAR(B3)*100+MONTH(B3)</f>
        <v>202401</v>
      </c>
    </row>
    <row r="4" spans="1:10">
      <c r="A4" s="15">
        <v>1125</v>
      </c>
      <c r="B4" s="16" t="s">
        <v>22</v>
      </c>
      <c r="C4" s="15" t="s">
        <v>18</v>
      </c>
      <c r="D4" s="15" t="s">
        <v>26</v>
      </c>
      <c r="E4" s="15" t="s">
        <v>24</v>
      </c>
      <c r="F4" s="15" t="s">
        <v>25</v>
      </c>
      <c r="G4" s="15">
        <v>8</v>
      </c>
      <c r="H4" s="17">
        <v>161.54</v>
      </c>
      <c r="I4" s="17">
        <f>G4*H4</f>
        <v>1292.32</v>
      </c>
      <c r="J4" s="15">
        <f>YEAR(B4)*100+MONTH(B4)</f>
        <v>202401</v>
      </c>
    </row>
    <row r="5" spans="1:10">
      <c r="A5" s="15">
        <v>1047</v>
      </c>
      <c r="B5" s="16" t="s">
        <v>27</v>
      </c>
      <c r="C5" s="15" t="s">
        <v>28</v>
      </c>
      <c r="D5" s="15" t="s">
        <v>29</v>
      </c>
      <c r="E5" s="15" t="s">
        <v>24</v>
      </c>
      <c r="F5" s="15" t="s">
        <v>30</v>
      </c>
      <c r="G5" s="15">
        <v>2</v>
      </c>
      <c r="H5" s="17">
        <v>199.46</v>
      </c>
      <c r="I5" s="17">
        <f>G5*H5</f>
        <v>398.92</v>
      </c>
      <c r="J5" s="15">
        <f>YEAR(B5)*100+MONTH(B5)</f>
        <v>202401</v>
      </c>
    </row>
    <row r="6" spans="1:10">
      <c r="A6" s="15">
        <v>1102</v>
      </c>
      <c r="B6" s="16" t="s">
        <v>31</v>
      </c>
      <c r="C6" s="15" t="s">
        <v>32</v>
      </c>
      <c r="D6" s="15" t="s">
        <v>23</v>
      </c>
      <c r="E6" s="15" t="s">
        <v>24</v>
      </c>
      <c r="F6" s="15" t="s">
        <v>25</v>
      </c>
      <c r="G6" s="15">
        <v>6</v>
      </c>
      <c r="H6" s="17">
        <v>149.4</v>
      </c>
      <c r="I6" s="17">
        <f>G6*H6</f>
        <v>896.40000000000009</v>
      </c>
      <c r="J6" s="15">
        <f>YEAR(B6)*100+MONTH(B6)</f>
        <v>202401</v>
      </c>
    </row>
    <row r="7" spans="1:10">
      <c r="A7" s="15">
        <v>1118</v>
      </c>
      <c r="B7" s="16" t="s">
        <v>31</v>
      </c>
      <c r="C7" s="15" t="s">
        <v>33</v>
      </c>
      <c r="D7" s="15" t="s">
        <v>26</v>
      </c>
      <c r="E7" s="15" t="s">
        <v>20</v>
      </c>
      <c r="F7" s="15" t="s">
        <v>21</v>
      </c>
      <c r="G7" s="15">
        <v>6</v>
      </c>
      <c r="H7" s="17">
        <v>24.56</v>
      </c>
      <c r="I7" s="17">
        <f>G7*H7</f>
        <v>147.35999999999999</v>
      </c>
      <c r="J7" s="15">
        <f>YEAR(B7)*100+MONTH(B7)</f>
        <v>202401</v>
      </c>
    </row>
    <row r="8" spans="1:10">
      <c r="A8" s="15">
        <v>1110</v>
      </c>
      <c r="B8" s="16" t="s">
        <v>34</v>
      </c>
      <c r="C8" s="15" t="s">
        <v>33</v>
      </c>
      <c r="D8" s="15" t="s">
        <v>35</v>
      </c>
      <c r="E8" s="15" t="s">
        <v>36</v>
      </c>
      <c r="F8" s="15" t="s">
        <v>37</v>
      </c>
      <c r="G8" s="15">
        <v>12</v>
      </c>
      <c r="H8" s="17">
        <v>142.32</v>
      </c>
      <c r="I8" s="17">
        <f>G8*H8</f>
        <v>1707.84</v>
      </c>
      <c r="J8" s="15">
        <f>YEAR(B8)*100+MONTH(B8)</f>
        <v>202401</v>
      </c>
    </row>
    <row r="9" spans="1:10">
      <c r="A9" s="15">
        <v>1254</v>
      </c>
      <c r="B9" s="16" t="s">
        <v>34</v>
      </c>
      <c r="C9" s="15" t="s">
        <v>28</v>
      </c>
      <c r="D9" s="15" t="s">
        <v>29</v>
      </c>
      <c r="E9" s="15" t="s">
        <v>38</v>
      </c>
      <c r="F9" s="15" t="s">
        <v>39</v>
      </c>
      <c r="G9" s="15">
        <v>7</v>
      </c>
      <c r="H9" s="17">
        <v>356.69</v>
      </c>
      <c r="I9" s="17">
        <f>G9*H9</f>
        <v>2496.83</v>
      </c>
      <c r="J9" s="15">
        <f>YEAR(B9)*100+MONTH(B9)</f>
        <v>202401</v>
      </c>
    </row>
    <row r="10" spans="1:10">
      <c r="A10" s="15">
        <v>1315</v>
      </c>
      <c r="B10" s="16" t="s">
        <v>40</v>
      </c>
      <c r="C10" s="15" t="s">
        <v>32</v>
      </c>
      <c r="D10" s="15" t="s">
        <v>19</v>
      </c>
      <c r="E10" s="15" t="s">
        <v>24</v>
      </c>
      <c r="F10" s="15" t="s">
        <v>25</v>
      </c>
      <c r="G10" s="15">
        <v>7</v>
      </c>
      <c r="H10" s="17">
        <v>155.91</v>
      </c>
      <c r="I10" s="17">
        <f>G10*H10</f>
        <v>1091.3699999999999</v>
      </c>
      <c r="J10" s="15">
        <f>YEAR(B10)*100+MONTH(B10)</f>
        <v>202401</v>
      </c>
    </row>
    <row r="11" spans="1:10">
      <c r="A11" s="15">
        <v>1132</v>
      </c>
      <c r="B11" s="16" t="s">
        <v>41</v>
      </c>
      <c r="C11" s="15" t="s">
        <v>42</v>
      </c>
      <c r="D11" s="15" t="s">
        <v>29</v>
      </c>
      <c r="E11" s="15" t="s">
        <v>20</v>
      </c>
      <c r="F11" s="15" t="s">
        <v>43</v>
      </c>
      <c r="G11" s="15">
        <v>3</v>
      </c>
      <c r="H11" s="17">
        <v>37.01</v>
      </c>
      <c r="I11" s="17">
        <f>G11*H11</f>
        <v>111.03</v>
      </c>
      <c r="J11" s="15">
        <f>YEAR(B11)*100+MONTH(B11)</f>
        <v>202401</v>
      </c>
    </row>
    <row r="12" spans="1:10">
      <c r="A12" s="15">
        <v>1247</v>
      </c>
      <c r="B12" s="16" t="s">
        <v>44</v>
      </c>
      <c r="C12" s="15" t="s">
        <v>33</v>
      </c>
      <c r="D12" s="15" t="s">
        <v>23</v>
      </c>
      <c r="E12" s="15" t="s">
        <v>24</v>
      </c>
      <c r="F12" s="15" t="s">
        <v>45</v>
      </c>
      <c r="G12" s="15">
        <v>6</v>
      </c>
      <c r="H12" s="17">
        <v>213.74</v>
      </c>
      <c r="I12" s="17">
        <f>G12*H12</f>
        <v>1282.44</v>
      </c>
      <c r="J12" s="15">
        <f>YEAR(B12)*100+MONTH(B12)</f>
        <v>202401</v>
      </c>
    </row>
    <row r="13" spans="1:10">
      <c r="A13" s="15">
        <v>1281</v>
      </c>
      <c r="B13" s="16" t="s">
        <v>44</v>
      </c>
      <c r="C13" s="15" t="s">
        <v>46</v>
      </c>
      <c r="D13" s="15" t="s">
        <v>19</v>
      </c>
      <c r="E13" s="15" t="s">
        <v>20</v>
      </c>
      <c r="F13" s="15" t="s">
        <v>43</v>
      </c>
      <c r="G13" s="15">
        <v>8</v>
      </c>
      <c r="H13" s="17">
        <v>39.78</v>
      </c>
      <c r="I13" s="17">
        <f>G13*H13</f>
        <v>318.24</v>
      </c>
      <c r="J13" s="15">
        <f>YEAR(B13)*100+MONTH(B13)</f>
        <v>202401</v>
      </c>
    </row>
    <row r="14" spans="1:10">
      <c r="A14" s="15">
        <v>1140</v>
      </c>
      <c r="B14" s="16" t="s">
        <v>47</v>
      </c>
      <c r="C14" s="15" t="s">
        <v>28</v>
      </c>
      <c r="D14" s="15" t="s">
        <v>29</v>
      </c>
      <c r="E14" s="15" t="s">
        <v>38</v>
      </c>
      <c r="F14" s="15" t="s">
        <v>39</v>
      </c>
      <c r="G14" s="15">
        <v>9</v>
      </c>
      <c r="H14" s="17">
        <v>357.42</v>
      </c>
      <c r="I14" s="17">
        <f>G14*H14</f>
        <v>3216.78</v>
      </c>
      <c r="J14" s="15">
        <f>YEAR(B14)*100+MONTH(B14)</f>
        <v>202401</v>
      </c>
    </row>
    <row r="15" spans="1:10">
      <c r="A15" s="15">
        <v>1095</v>
      </c>
      <c r="B15" s="16" t="s">
        <v>48</v>
      </c>
      <c r="C15" s="15" t="s">
        <v>33</v>
      </c>
      <c r="D15" s="15" t="s">
        <v>19</v>
      </c>
      <c r="E15" s="15" t="s">
        <v>38</v>
      </c>
      <c r="F15" s="15" t="s">
        <v>49</v>
      </c>
      <c r="G15" s="15">
        <v>10</v>
      </c>
      <c r="H15" s="17">
        <v>463.09</v>
      </c>
      <c r="I15" s="17">
        <f>G15*H15</f>
        <v>4630.8999999999996</v>
      </c>
      <c r="J15" s="15">
        <f>YEAR(B15)*100+MONTH(B15)</f>
        <v>202401</v>
      </c>
    </row>
    <row r="16" spans="1:10">
      <c r="A16" s="15">
        <v>1271</v>
      </c>
      <c r="B16" s="16" t="s">
        <v>50</v>
      </c>
      <c r="C16" s="15" t="s">
        <v>18</v>
      </c>
      <c r="D16" s="15" t="s">
        <v>35</v>
      </c>
      <c r="E16" s="15" t="s">
        <v>38</v>
      </c>
      <c r="F16" s="15" t="s">
        <v>49</v>
      </c>
      <c r="G16" s="15">
        <v>11</v>
      </c>
      <c r="H16" s="17">
        <v>427.81</v>
      </c>
      <c r="I16" s="17">
        <f>G16*H16</f>
        <v>4705.91</v>
      </c>
      <c r="J16" s="15">
        <f>YEAR(B16)*100+MONTH(B16)</f>
        <v>202401</v>
      </c>
    </row>
    <row r="17" spans="1:10">
      <c r="A17" s="15">
        <v>1263</v>
      </c>
      <c r="B17" s="16" t="s">
        <v>51</v>
      </c>
      <c r="C17" s="15" t="s">
        <v>32</v>
      </c>
      <c r="D17" s="15" t="s">
        <v>35</v>
      </c>
      <c r="E17" s="15" t="s">
        <v>38</v>
      </c>
      <c r="F17" s="15" t="s">
        <v>52</v>
      </c>
      <c r="G17" s="15">
        <v>1</v>
      </c>
      <c r="H17" s="17">
        <v>676.48</v>
      </c>
      <c r="I17" s="17">
        <f>G17*H17</f>
        <v>676.48</v>
      </c>
      <c r="J17" s="15">
        <f>YEAR(B17)*100+MONTH(B17)</f>
        <v>202401</v>
      </c>
    </row>
    <row r="18" spans="1:10">
      <c r="A18" s="15">
        <v>1229</v>
      </c>
      <c r="B18" s="16" t="s">
        <v>53</v>
      </c>
      <c r="C18" s="15" t="s">
        <v>46</v>
      </c>
      <c r="D18" s="15" t="s">
        <v>29</v>
      </c>
      <c r="E18" s="15" t="s">
        <v>38</v>
      </c>
      <c r="F18" s="15" t="s">
        <v>39</v>
      </c>
      <c r="G18" s="15">
        <v>8</v>
      </c>
      <c r="H18" s="17">
        <v>371.23</v>
      </c>
      <c r="I18" s="17">
        <f>G18*H18</f>
        <v>2969.84</v>
      </c>
      <c r="J18" s="15">
        <f>YEAR(B18)*100+MONTH(B18)</f>
        <v>202401</v>
      </c>
    </row>
    <row r="19" spans="1:10">
      <c r="A19" s="15">
        <v>1307</v>
      </c>
      <c r="B19" s="16" t="s">
        <v>53</v>
      </c>
      <c r="C19" s="15" t="s">
        <v>42</v>
      </c>
      <c r="D19" s="15" t="s">
        <v>29</v>
      </c>
      <c r="E19" s="15" t="s">
        <v>36</v>
      </c>
      <c r="F19" s="15" t="s">
        <v>54</v>
      </c>
      <c r="G19" s="15">
        <v>6</v>
      </c>
      <c r="H19" s="17">
        <v>3001.01</v>
      </c>
      <c r="I19" s="17">
        <f>G19*H19</f>
        <v>18006.060000000001</v>
      </c>
      <c r="J19" s="15">
        <f>YEAR(B19)*100+MONTH(B19)</f>
        <v>202401</v>
      </c>
    </row>
    <row r="20" spans="1:10">
      <c r="A20" s="15">
        <v>1262</v>
      </c>
      <c r="B20" s="16" t="s">
        <v>55</v>
      </c>
      <c r="C20" s="15" t="s">
        <v>42</v>
      </c>
      <c r="D20" s="15" t="s">
        <v>35</v>
      </c>
      <c r="E20" s="15" t="s">
        <v>20</v>
      </c>
      <c r="F20" s="15" t="s">
        <v>21</v>
      </c>
      <c r="G20" s="15">
        <v>9</v>
      </c>
      <c r="H20" s="17">
        <v>24.67</v>
      </c>
      <c r="I20" s="17">
        <f>G20*H20</f>
        <v>222.03000000000003</v>
      </c>
      <c r="J20" s="15">
        <f>YEAR(B20)*100+MONTH(B20)</f>
        <v>202401</v>
      </c>
    </row>
    <row r="21" spans="1:10">
      <c r="A21" s="15">
        <v>1076</v>
      </c>
      <c r="B21" s="16" t="s">
        <v>56</v>
      </c>
      <c r="C21" s="15" t="s">
        <v>42</v>
      </c>
      <c r="D21" s="15" t="s">
        <v>23</v>
      </c>
      <c r="E21" s="15" t="s">
        <v>38</v>
      </c>
      <c r="F21" s="15" t="s">
        <v>52</v>
      </c>
      <c r="G21" s="15">
        <v>2</v>
      </c>
      <c r="H21" s="17">
        <v>699.63</v>
      </c>
      <c r="I21" s="17">
        <f>G21*H21</f>
        <v>1399.26</v>
      </c>
      <c r="J21" s="15">
        <f>YEAR(B21)*100+MONTH(B21)</f>
        <v>202401</v>
      </c>
    </row>
    <row r="22" spans="1:10">
      <c r="A22" s="15">
        <v>1156</v>
      </c>
      <c r="B22" s="16" t="s">
        <v>56</v>
      </c>
      <c r="C22" s="15" t="s">
        <v>42</v>
      </c>
      <c r="D22" s="15" t="s">
        <v>19</v>
      </c>
      <c r="E22" s="15" t="s">
        <v>20</v>
      </c>
      <c r="F22" s="15" t="s">
        <v>57</v>
      </c>
      <c r="G22" s="15">
        <v>6</v>
      </c>
      <c r="H22" s="17">
        <v>14.37</v>
      </c>
      <c r="I22" s="17">
        <f>G22*H22</f>
        <v>86.22</v>
      </c>
      <c r="J22" s="15">
        <f>YEAR(B22)*100+MONTH(B22)</f>
        <v>202401</v>
      </c>
    </row>
    <row r="23" spans="1:10">
      <c r="A23" s="15">
        <v>1092</v>
      </c>
      <c r="B23" s="16" t="s">
        <v>58</v>
      </c>
      <c r="C23" s="15" t="s">
        <v>18</v>
      </c>
      <c r="D23" s="15" t="s">
        <v>35</v>
      </c>
      <c r="E23" s="15" t="s">
        <v>20</v>
      </c>
      <c r="F23" s="15" t="s">
        <v>21</v>
      </c>
      <c r="G23" s="15">
        <v>8</v>
      </c>
      <c r="H23" s="17">
        <v>24.06</v>
      </c>
      <c r="I23" s="17">
        <f>G23*H23</f>
        <v>192.48</v>
      </c>
      <c r="J23" s="15">
        <f>YEAR(B23)*100+MONTH(B23)</f>
        <v>202401</v>
      </c>
    </row>
    <row r="24" spans="1:10">
      <c r="A24" s="15">
        <v>1200</v>
      </c>
      <c r="B24" s="16" t="s">
        <v>59</v>
      </c>
      <c r="C24" s="15" t="s">
        <v>46</v>
      </c>
      <c r="D24" s="15" t="s">
        <v>29</v>
      </c>
      <c r="E24" s="15" t="s">
        <v>20</v>
      </c>
      <c r="F24" s="15" t="s">
        <v>43</v>
      </c>
      <c r="G24" s="15">
        <v>2</v>
      </c>
      <c r="H24" s="17">
        <v>38.42</v>
      </c>
      <c r="I24" s="17">
        <f>G24*H24</f>
        <v>76.84</v>
      </c>
      <c r="J24" s="15">
        <f>YEAR(B24)*100+MONTH(B24)</f>
        <v>202401</v>
      </c>
    </row>
    <row r="25" spans="1:10">
      <c r="A25" s="15">
        <v>1313</v>
      </c>
      <c r="B25" s="16" t="s">
        <v>59</v>
      </c>
      <c r="C25" s="15" t="s">
        <v>46</v>
      </c>
      <c r="D25" s="15" t="s">
        <v>23</v>
      </c>
      <c r="E25" s="15" t="s">
        <v>24</v>
      </c>
      <c r="F25" s="15" t="s">
        <v>45</v>
      </c>
      <c r="G25" s="15">
        <v>12</v>
      </c>
      <c r="H25" s="17">
        <v>217.39</v>
      </c>
      <c r="I25" s="17">
        <f>G25*H25</f>
        <v>2608.6799999999998</v>
      </c>
      <c r="J25" s="15">
        <f>YEAR(B25)*100+MONTH(B25)</f>
        <v>202401</v>
      </c>
    </row>
    <row r="26" spans="1:10">
      <c r="A26" s="15">
        <v>1117</v>
      </c>
      <c r="B26" s="16" t="s">
        <v>60</v>
      </c>
      <c r="C26" s="15" t="s">
        <v>42</v>
      </c>
      <c r="D26" s="15" t="s">
        <v>26</v>
      </c>
      <c r="E26" s="15" t="s">
        <v>20</v>
      </c>
      <c r="F26" s="15" t="s">
        <v>43</v>
      </c>
      <c r="G26" s="15">
        <v>11</v>
      </c>
      <c r="H26" s="17">
        <v>41.71</v>
      </c>
      <c r="I26" s="17">
        <f>G26*H26</f>
        <v>458.81</v>
      </c>
      <c r="J26" s="15">
        <f>YEAR(B26)*100+MONTH(B26)</f>
        <v>202401</v>
      </c>
    </row>
    <row r="27" spans="1:10">
      <c r="A27" s="15">
        <v>1024</v>
      </c>
      <c r="B27" s="16" t="s">
        <v>61</v>
      </c>
      <c r="C27" s="15" t="s">
        <v>32</v>
      </c>
      <c r="D27" s="15" t="s">
        <v>23</v>
      </c>
      <c r="E27" s="15" t="s">
        <v>38</v>
      </c>
      <c r="F27" s="15" t="s">
        <v>39</v>
      </c>
      <c r="G27" s="15">
        <v>2</v>
      </c>
      <c r="H27" s="17">
        <v>396.38</v>
      </c>
      <c r="I27" s="17">
        <f>G27*H27</f>
        <v>792.76</v>
      </c>
      <c r="J27" s="15">
        <f>YEAR(B27)*100+MONTH(B27)</f>
        <v>202401</v>
      </c>
    </row>
    <row r="28" spans="1:10">
      <c r="A28" s="15">
        <v>1199</v>
      </c>
      <c r="B28" s="16" t="s">
        <v>62</v>
      </c>
      <c r="C28" s="15" t="s">
        <v>32</v>
      </c>
      <c r="D28" s="15" t="s">
        <v>23</v>
      </c>
      <c r="E28" s="15" t="s">
        <v>20</v>
      </c>
      <c r="F28" s="15" t="s">
        <v>43</v>
      </c>
      <c r="G28" s="15">
        <v>6</v>
      </c>
      <c r="H28" s="17">
        <v>37.44</v>
      </c>
      <c r="I28" s="17">
        <f>G28*H28</f>
        <v>224.64</v>
      </c>
      <c r="J28" s="15">
        <f>YEAR(B28)*100+MONTH(B28)</f>
        <v>202401</v>
      </c>
    </row>
    <row r="29" spans="1:10">
      <c r="A29" s="15">
        <v>1085</v>
      </c>
      <c r="B29" s="16" t="s">
        <v>63</v>
      </c>
      <c r="C29" s="15" t="s">
        <v>42</v>
      </c>
      <c r="D29" s="15" t="s">
        <v>26</v>
      </c>
      <c r="E29" s="15" t="s">
        <v>24</v>
      </c>
      <c r="F29" s="15" t="s">
        <v>25</v>
      </c>
      <c r="G29" s="15">
        <v>8</v>
      </c>
      <c r="H29" s="17">
        <v>154.08000000000001</v>
      </c>
      <c r="I29" s="17">
        <f>G29*H29</f>
        <v>1232.6400000000001</v>
      </c>
      <c r="J29" s="15">
        <f>YEAR(B29)*100+MONTH(B29)</f>
        <v>202402</v>
      </c>
    </row>
    <row r="30" spans="1:10">
      <c r="A30" s="15">
        <v>1025</v>
      </c>
      <c r="B30" s="16" t="s">
        <v>64</v>
      </c>
      <c r="C30" s="15" t="s">
        <v>33</v>
      </c>
      <c r="D30" s="15" t="s">
        <v>35</v>
      </c>
      <c r="E30" s="15" t="s">
        <v>38</v>
      </c>
      <c r="F30" s="15" t="s">
        <v>49</v>
      </c>
      <c r="G30" s="15">
        <v>9</v>
      </c>
      <c r="H30" s="17">
        <v>452.6</v>
      </c>
      <c r="I30" s="17">
        <f>G30*H30</f>
        <v>4073.4</v>
      </c>
      <c r="J30" s="15">
        <f>YEAR(B30)*100+MONTH(B30)</f>
        <v>202402</v>
      </c>
    </row>
    <row r="31" spans="1:10">
      <c r="A31" s="15">
        <v>1205</v>
      </c>
      <c r="B31" s="16" t="s">
        <v>64</v>
      </c>
      <c r="C31" s="15" t="s">
        <v>28</v>
      </c>
      <c r="D31" s="15" t="s">
        <v>29</v>
      </c>
      <c r="E31" s="15" t="s">
        <v>38</v>
      </c>
      <c r="F31" s="15" t="s">
        <v>39</v>
      </c>
      <c r="G31" s="15">
        <v>1</v>
      </c>
      <c r="H31" s="17">
        <v>380.88</v>
      </c>
      <c r="I31" s="17">
        <f>G31*H31</f>
        <v>380.88</v>
      </c>
      <c r="J31" s="15">
        <f>YEAR(B31)*100+MONTH(B31)</f>
        <v>202402</v>
      </c>
    </row>
    <row r="32" spans="1:10">
      <c r="A32" s="15">
        <v>1214</v>
      </c>
      <c r="B32" s="16" t="s">
        <v>65</v>
      </c>
      <c r="C32" s="15" t="s">
        <v>42</v>
      </c>
      <c r="D32" s="15" t="s">
        <v>26</v>
      </c>
      <c r="E32" s="15" t="s">
        <v>24</v>
      </c>
      <c r="F32" s="15" t="s">
        <v>30</v>
      </c>
      <c r="G32" s="15">
        <v>1</v>
      </c>
      <c r="H32" s="17">
        <v>175.84</v>
      </c>
      <c r="I32" s="17">
        <f>G32*H32</f>
        <v>175.84</v>
      </c>
      <c r="J32" s="15">
        <f>YEAR(B32)*100+MONTH(B32)</f>
        <v>202402</v>
      </c>
    </row>
    <row r="33" spans="1:10">
      <c r="A33" s="15">
        <v>1055</v>
      </c>
      <c r="B33" s="16" t="s">
        <v>66</v>
      </c>
      <c r="C33" s="15" t="s">
        <v>46</v>
      </c>
      <c r="D33" s="15" t="s">
        <v>29</v>
      </c>
      <c r="E33" s="15" t="s">
        <v>38</v>
      </c>
      <c r="F33" s="15" t="s">
        <v>39</v>
      </c>
      <c r="G33" s="15">
        <v>6</v>
      </c>
      <c r="H33" s="17">
        <v>351.38</v>
      </c>
      <c r="I33" s="17">
        <f>G33*H33</f>
        <v>2108.2799999999997</v>
      </c>
      <c r="J33" s="15">
        <f>YEAR(B33)*100+MONTH(B33)</f>
        <v>202402</v>
      </c>
    </row>
    <row r="34" spans="1:10">
      <c r="A34" s="15">
        <v>1083</v>
      </c>
      <c r="B34" s="16" t="s">
        <v>67</v>
      </c>
      <c r="C34" s="15" t="s">
        <v>46</v>
      </c>
      <c r="D34" s="15" t="s">
        <v>26</v>
      </c>
      <c r="E34" s="15" t="s">
        <v>20</v>
      </c>
      <c r="F34" s="15" t="s">
        <v>57</v>
      </c>
      <c r="G34" s="15">
        <v>6</v>
      </c>
      <c r="H34" s="17">
        <v>14.33</v>
      </c>
      <c r="I34" s="17">
        <f>G34*H34</f>
        <v>85.98</v>
      </c>
      <c r="J34" s="15">
        <f>YEAR(B34)*100+MONTH(B34)</f>
        <v>202402</v>
      </c>
    </row>
    <row r="35" spans="1:10">
      <c r="A35" s="15">
        <v>1273</v>
      </c>
      <c r="B35" s="16" t="s">
        <v>67</v>
      </c>
      <c r="C35" s="15" t="s">
        <v>32</v>
      </c>
      <c r="D35" s="15" t="s">
        <v>35</v>
      </c>
      <c r="E35" s="15" t="s">
        <v>38</v>
      </c>
      <c r="F35" s="15" t="s">
        <v>39</v>
      </c>
      <c r="G35" s="15">
        <v>6</v>
      </c>
      <c r="H35" s="17">
        <v>367.73</v>
      </c>
      <c r="I35" s="17">
        <f>G35*H35</f>
        <v>2206.38</v>
      </c>
      <c r="J35" s="15">
        <f>YEAR(B35)*100+MONTH(B35)</f>
        <v>202402</v>
      </c>
    </row>
    <row r="36" spans="1:10">
      <c r="A36" s="15">
        <v>1009</v>
      </c>
      <c r="B36" s="16" t="s">
        <v>68</v>
      </c>
      <c r="C36" s="15" t="s">
        <v>32</v>
      </c>
      <c r="D36" s="15" t="s">
        <v>35</v>
      </c>
      <c r="E36" s="15" t="s">
        <v>38</v>
      </c>
      <c r="F36" s="15" t="s">
        <v>49</v>
      </c>
      <c r="G36" s="15">
        <v>8</v>
      </c>
      <c r="H36" s="17">
        <v>436.24</v>
      </c>
      <c r="I36" s="17">
        <f>G36*H36</f>
        <v>3489.92</v>
      </c>
      <c r="J36" s="15">
        <f>YEAR(B36)*100+MONTH(B36)</f>
        <v>202402</v>
      </c>
    </row>
    <row r="37" spans="1:10">
      <c r="A37" s="15">
        <v>1158</v>
      </c>
      <c r="B37" s="16" t="s">
        <v>68</v>
      </c>
      <c r="C37" s="15" t="s">
        <v>46</v>
      </c>
      <c r="D37" s="15" t="s">
        <v>19</v>
      </c>
      <c r="E37" s="15" t="s">
        <v>24</v>
      </c>
      <c r="F37" s="15" t="s">
        <v>30</v>
      </c>
      <c r="G37" s="15">
        <v>8</v>
      </c>
      <c r="H37" s="17">
        <v>191.67</v>
      </c>
      <c r="I37" s="17">
        <f>G37*H37</f>
        <v>1533.36</v>
      </c>
      <c r="J37" s="15">
        <f>YEAR(B37)*100+MONTH(B37)</f>
        <v>202402</v>
      </c>
    </row>
    <row r="38" spans="1:10">
      <c r="A38" s="15">
        <v>1233</v>
      </c>
      <c r="B38" s="16" t="s">
        <v>69</v>
      </c>
      <c r="C38" s="15" t="s">
        <v>32</v>
      </c>
      <c r="D38" s="15" t="s">
        <v>23</v>
      </c>
      <c r="E38" s="15" t="s">
        <v>38</v>
      </c>
      <c r="F38" s="15" t="s">
        <v>52</v>
      </c>
      <c r="G38" s="15">
        <v>11</v>
      </c>
      <c r="H38" s="17">
        <v>672.23</v>
      </c>
      <c r="I38" s="17">
        <f>G38*H38</f>
        <v>7394.5300000000007</v>
      </c>
      <c r="J38" s="15">
        <f>YEAR(B38)*100+MONTH(B38)</f>
        <v>202402</v>
      </c>
    </row>
    <row r="39" spans="1:10">
      <c r="A39" s="15">
        <v>1248</v>
      </c>
      <c r="B39" s="16" t="s">
        <v>69</v>
      </c>
      <c r="C39" s="15" t="s">
        <v>32</v>
      </c>
      <c r="D39" s="15" t="s">
        <v>35</v>
      </c>
      <c r="E39" s="15" t="s">
        <v>20</v>
      </c>
      <c r="F39" s="15" t="s">
        <v>57</v>
      </c>
      <c r="G39" s="15">
        <v>2</v>
      </c>
      <c r="H39" s="17">
        <v>13.85</v>
      </c>
      <c r="I39" s="17">
        <f>G39*H39</f>
        <v>27.7</v>
      </c>
      <c r="J39" s="15">
        <f>YEAR(B39)*100+MONTH(B39)</f>
        <v>202402</v>
      </c>
    </row>
    <row r="40" spans="1:10">
      <c r="A40" s="15">
        <v>1017</v>
      </c>
      <c r="B40" s="16" t="s">
        <v>70</v>
      </c>
      <c r="C40" s="15" t="s">
        <v>32</v>
      </c>
      <c r="D40" s="15" t="s">
        <v>23</v>
      </c>
      <c r="E40" s="15" t="s">
        <v>36</v>
      </c>
      <c r="F40" s="15" t="s">
        <v>54</v>
      </c>
      <c r="G40" s="15">
        <v>3</v>
      </c>
      <c r="H40" s="17">
        <v>3007.58</v>
      </c>
      <c r="I40" s="17">
        <f>G40*H40</f>
        <v>9022.74</v>
      </c>
      <c r="J40" s="15">
        <f>YEAR(B40)*100+MONTH(B40)</f>
        <v>202402</v>
      </c>
    </row>
    <row r="41" spans="1:10">
      <c r="A41" s="15">
        <v>1134</v>
      </c>
      <c r="B41" s="16" t="s">
        <v>70</v>
      </c>
      <c r="C41" s="15" t="s">
        <v>32</v>
      </c>
      <c r="D41" s="15" t="s">
        <v>26</v>
      </c>
      <c r="E41" s="15" t="s">
        <v>24</v>
      </c>
      <c r="F41" s="15" t="s">
        <v>25</v>
      </c>
      <c r="G41" s="15">
        <v>6</v>
      </c>
      <c r="H41" s="17">
        <v>155.69</v>
      </c>
      <c r="I41" s="17">
        <f>G41*H41</f>
        <v>934.14</v>
      </c>
      <c r="J41" s="15">
        <f>YEAR(B41)*100+MONTH(B41)</f>
        <v>202402</v>
      </c>
    </row>
    <row r="42" spans="1:10">
      <c r="A42" s="15">
        <v>1075</v>
      </c>
      <c r="B42" s="16" t="s">
        <v>71</v>
      </c>
      <c r="C42" s="15" t="s">
        <v>33</v>
      </c>
      <c r="D42" s="15" t="s">
        <v>26</v>
      </c>
      <c r="E42" s="15" t="s">
        <v>38</v>
      </c>
      <c r="F42" s="15" t="s">
        <v>39</v>
      </c>
      <c r="G42" s="15">
        <v>4</v>
      </c>
      <c r="H42" s="17">
        <v>364.93</v>
      </c>
      <c r="I42" s="17">
        <f>G42*H42</f>
        <v>1459.72</v>
      </c>
      <c r="J42" s="15">
        <f>YEAR(B42)*100+MONTH(B42)</f>
        <v>202402</v>
      </c>
    </row>
    <row r="43" spans="1:10">
      <c r="A43" s="15">
        <v>1198</v>
      </c>
      <c r="B43" s="16" t="s">
        <v>71</v>
      </c>
      <c r="C43" s="15" t="s">
        <v>33</v>
      </c>
      <c r="D43" s="15" t="s">
        <v>29</v>
      </c>
      <c r="E43" s="15" t="s">
        <v>24</v>
      </c>
      <c r="F43" s="15" t="s">
        <v>45</v>
      </c>
      <c r="G43" s="15">
        <v>6</v>
      </c>
      <c r="H43" s="17">
        <v>223.7</v>
      </c>
      <c r="I43" s="17">
        <f>G43*H43</f>
        <v>1342.1999999999998</v>
      </c>
      <c r="J43" s="15">
        <f>YEAR(B43)*100+MONTH(B43)</f>
        <v>202402</v>
      </c>
    </row>
    <row r="44" spans="1:10">
      <c r="A44" s="15">
        <v>1297</v>
      </c>
      <c r="B44" s="16" t="s">
        <v>72</v>
      </c>
      <c r="C44" s="15" t="s">
        <v>42</v>
      </c>
      <c r="D44" s="15" t="s">
        <v>19</v>
      </c>
      <c r="E44" s="15" t="s">
        <v>36</v>
      </c>
      <c r="F44" s="15" t="s">
        <v>37</v>
      </c>
      <c r="G44" s="15">
        <v>10</v>
      </c>
      <c r="H44" s="17">
        <v>156.44</v>
      </c>
      <c r="I44" s="17">
        <f>G44*H44</f>
        <v>1564.4</v>
      </c>
      <c r="J44" s="15">
        <f>YEAR(B44)*100+MONTH(B44)</f>
        <v>202402</v>
      </c>
    </row>
    <row r="45" spans="1:10">
      <c r="A45" s="15">
        <v>1181</v>
      </c>
      <c r="B45" s="16" t="s">
        <v>73</v>
      </c>
      <c r="C45" s="15" t="s">
        <v>18</v>
      </c>
      <c r="D45" s="15" t="s">
        <v>26</v>
      </c>
      <c r="E45" s="15" t="s">
        <v>20</v>
      </c>
      <c r="F45" s="15" t="s">
        <v>43</v>
      </c>
      <c r="G45" s="15">
        <v>11</v>
      </c>
      <c r="H45" s="17">
        <v>41.49</v>
      </c>
      <c r="I45" s="17">
        <f>G45*H45</f>
        <v>456.39000000000004</v>
      </c>
      <c r="J45" s="15">
        <f>YEAR(B45)*100+MONTH(B45)</f>
        <v>202402</v>
      </c>
    </row>
    <row r="46" spans="1:10">
      <c r="A46" s="15">
        <v>1002</v>
      </c>
      <c r="B46" s="16" t="s">
        <v>74</v>
      </c>
      <c r="C46" s="15" t="s">
        <v>33</v>
      </c>
      <c r="D46" s="15" t="s">
        <v>19</v>
      </c>
      <c r="E46" s="15" t="s">
        <v>36</v>
      </c>
      <c r="F46" s="15" t="s">
        <v>75</v>
      </c>
      <c r="G46" s="15">
        <v>2</v>
      </c>
      <c r="H46" s="17">
        <v>554.48</v>
      </c>
      <c r="I46" s="17">
        <f>G46*H46</f>
        <v>1108.96</v>
      </c>
      <c r="J46" s="15">
        <f>YEAR(B46)*100+MONTH(B46)</f>
        <v>202402</v>
      </c>
    </row>
    <row r="47" spans="1:10">
      <c r="A47" s="15">
        <v>1221</v>
      </c>
      <c r="B47" s="16" t="s">
        <v>74</v>
      </c>
      <c r="C47" s="15" t="s">
        <v>33</v>
      </c>
      <c r="D47" s="15" t="s">
        <v>26</v>
      </c>
      <c r="E47" s="15" t="s">
        <v>38</v>
      </c>
      <c r="F47" s="15" t="s">
        <v>52</v>
      </c>
      <c r="G47" s="15">
        <v>10</v>
      </c>
      <c r="H47" s="17">
        <v>661.95</v>
      </c>
      <c r="I47" s="17">
        <f>G47*H47</f>
        <v>6619.5</v>
      </c>
      <c r="J47" s="15">
        <f>YEAR(B47)*100+MONTH(B47)</f>
        <v>202402</v>
      </c>
    </row>
    <row r="48" spans="1:10">
      <c r="A48" s="15">
        <v>1252</v>
      </c>
      <c r="B48" s="16" t="s">
        <v>76</v>
      </c>
      <c r="C48" s="15" t="s">
        <v>33</v>
      </c>
      <c r="D48" s="15" t="s">
        <v>23</v>
      </c>
      <c r="E48" s="15" t="s">
        <v>20</v>
      </c>
      <c r="F48" s="15" t="s">
        <v>57</v>
      </c>
      <c r="G48" s="15">
        <v>1</v>
      </c>
      <c r="H48" s="17">
        <v>14.39</v>
      </c>
      <c r="I48" s="17">
        <f>G48*H48</f>
        <v>14.39</v>
      </c>
      <c r="J48" s="15">
        <f>YEAR(B48)*100+MONTH(B48)</f>
        <v>202402</v>
      </c>
    </row>
    <row r="49" spans="1:10">
      <c r="A49" s="15">
        <v>1020</v>
      </c>
      <c r="B49" s="16" t="s">
        <v>77</v>
      </c>
      <c r="C49" s="15" t="s">
        <v>32</v>
      </c>
      <c r="D49" s="15" t="s">
        <v>35</v>
      </c>
      <c r="E49" s="15" t="s">
        <v>20</v>
      </c>
      <c r="F49" s="15" t="s">
        <v>21</v>
      </c>
      <c r="G49" s="15">
        <v>1</v>
      </c>
      <c r="H49" s="17">
        <v>23.51</v>
      </c>
      <c r="I49" s="17">
        <f>G49*H49</f>
        <v>23.51</v>
      </c>
      <c r="J49" s="15">
        <f>YEAR(B49)*100+MONTH(B49)</f>
        <v>202402</v>
      </c>
    </row>
    <row r="50" spans="1:10">
      <c r="A50" s="15">
        <v>1171</v>
      </c>
      <c r="B50" s="16" t="s">
        <v>78</v>
      </c>
      <c r="C50" s="15" t="s">
        <v>32</v>
      </c>
      <c r="D50" s="15" t="s">
        <v>23</v>
      </c>
      <c r="E50" s="15" t="s">
        <v>24</v>
      </c>
      <c r="F50" s="15" t="s">
        <v>45</v>
      </c>
      <c r="G50" s="15">
        <v>4</v>
      </c>
      <c r="H50" s="17">
        <v>206.43</v>
      </c>
      <c r="I50" s="17">
        <f>G50*H50</f>
        <v>825.72</v>
      </c>
      <c r="J50" s="15">
        <f>YEAR(B50)*100+MONTH(B50)</f>
        <v>202402</v>
      </c>
    </row>
    <row r="51" spans="1:10">
      <c r="A51" s="15">
        <v>1216</v>
      </c>
      <c r="B51" s="16" t="s">
        <v>78</v>
      </c>
      <c r="C51" s="15" t="s">
        <v>46</v>
      </c>
      <c r="D51" s="15" t="s">
        <v>23</v>
      </c>
      <c r="E51" s="15" t="s">
        <v>24</v>
      </c>
      <c r="F51" s="15" t="s">
        <v>45</v>
      </c>
      <c r="G51" s="15">
        <v>3</v>
      </c>
      <c r="H51" s="17">
        <v>230.03</v>
      </c>
      <c r="I51" s="17">
        <f>G51*H51</f>
        <v>690.09</v>
      </c>
      <c r="J51" s="15">
        <f>YEAR(B51)*100+MONTH(B51)</f>
        <v>202402</v>
      </c>
    </row>
    <row r="52" spans="1:10">
      <c r="A52" s="15">
        <v>1051</v>
      </c>
      <c r="B52" s="16" t="s">
        <v>79</v>
      </c>
      <c r="C52" s="15" t="s">
        <v>33</v>
      </c>
      <c r="D52" s="15" t="s">
        <v>35</v>
      </c>
      <c r="E52" s="15" t="s">
        <v>36</v>
      </c>
      <c r="F52" s="15" t="s">
        <v>80</v>
      </c>
      <c r="G52" s="15">
        <v>10</v>
      </c>
      <c r="H52" s="17">
        <v>1719.73</v>
      </c>
      <c r="I52" s="17">
        <f>G52*H52</f>
        <v>17197.3</v>
      </c>
      <c r="J52" s="15">
        <f>YEAR(B52)*100+MONTH(B52)</f>
        <v>202402</v>
      </c>
    </row>
    <row r="53" spans="1:10">
      <c r="A53" s="15">
        <v>1064</v>
      </c>
      <c r="B53" s="16" t="s">
        <v>79</v>
      </c>
      <c r="C53" s="15" t="s">
        <v>28</v>
      </c>
      <c r="D53" s="15" t="s">
        <v>26</v>
      </c>
      <c r="E53" s="15" t="s">
        <v>20</v>
      </c>
      <c r="F53" s="15" t="s">
        <v>57</v>
      </c>
      <c r="G53" s="15">
        <v>5</v>
      </c>
      <c r="H53" s="17">
        <v>14.93</v>
      </c>
      <c r="I53" s="17">
        <f>G53*H53</f>
        <v>74.650000000000006</v>
      </c>
      <c r="J53" s="15">
        <f>YEAR(B53)*100+MONTH(B53)</f>
        <v>202402</v>
      </c>
    </row>
    <row r="54" spans="1:10">
      <c r="A54" s="15">
        <v>1113</v>
      </c>
      <c r="B54" s="16" t="s">
        <v>81</v>
      </c>
      <c r="C54" s="15" t="s">
        <v>32</v>
      </c>
      <c r="D54" s="15" t="s">
        <v>19</v>
      </c>
      <c r="E54" s="15" t="s">
        <v>38</v>
      </c>
      <c r="F54" s="15" t="s">
        <v>52</v>
      </c>
      <c r="G54" s="15">
        <v>9</v>
      </c>
      <c r="H54" s="17">
        <v>654.88</v>
      </c>
      <c r="I54" s="17">
        <f>G54*H54</f>
        <v>5893.92</v>
      </c>
      <c r="J54" s="15">
        <f>YEAR(B54)*100+MONTH(B54)</f>
        <v>202403</v>
      </c>
    </row>
    <row r="55" spans="1:10">
      <c r="A55" s="15">
        <v>1173</v>
      </c>
      <c r="B55" s="16" t="s">
        <v>82</v>
      </c>
      <c r="C55" s="15" t="s">
        <v>18</v>
      </c>
      <c r="D55" s="15" t="s">
        <v>29</v>
      </c>
      <c r="E55" s="15" t="s">
        <v>24</v>
      </c>
      <c r="F55" s="15" t="s">
        <v>25</v>
      </c>
      <c r="G55" s="15">
        <v>11</v>
      </c>
      <c r="H55" s="17">
        <v>161.19</v>
      </c>
      <c r="I55" s="17">
        <f>G55*H55</f>
        <v>1773.09</v>
      </c>
      <c r="J55" s="15">
        <f>YEAR(B55)*100+MONTH(B55)</f>
        <v>202403</v>
      </c>
    </row>
    <row r="56" spans="1:10">
      <c r="A56" s="15">
        <v>1096</v>
      </c>
      <c r="B56" s="16" t="s">
        <v>83</v>
      </c>
      <c r="C56" s="15" t="s">
        <v>42</v>
      </c>
      <c r="D56" s="15" t="s">
        <v>35</v>
      </c>
      <c r="E56" s="15" t="s">
        <v>24</v>
      </c>
      <c r="F56" s="15" t="s">
        <v>30</v>
      </c>
      <c r="G56" s="15">
        <v>4</v>
      </c>
      <c r="H56" s="17">
        <v>177.63</v>
      </c>
      <c r="I56" s="17">
        <f>G56*H56</f>
        <v>710.52</v>
      </c>
      <c r="J56" s="15">
        <f>YEAR(B56)*100+MONTH(B56)</f>
        <v>202403</v>
      </c>
    </row>
    <row r="57" spans="1:10">
      <c r="A57" s="15">
        <v>1188</v>
      </c>
      <c r="B57" s="16" t="s">
        <v>83</v>
      </c>
      <c r="C57" s="15" t="s">
        <v>42</v>
      </c>
      <c r="D57" s="15" t="s">
        <v>23</v>
      </c>
      <c r="E57" s="15" t="s">
        <v>24</v>
      </c>
      <c r="F57" s="15" t="s">
        <v>30</v>
      </c>
      <c r="G57" s="15">
        <v>2</v>
      </c>
      <c r="H57" s="17">
        <v>177.61</v>
      </c>
      <c r="I57" s="17">
        <f>G57*H57</f>
        <v>355.22</v>
      </c>
      <c r="J57" s="15">
        <f>YEAR(B57)*100+MONTH(B57)</f>
        <v>202403</v>
      </c>
    </row>
    <row r="58" spans="1:10">
      <c r="A58" s="15">
        <v>1288</v>
      </c>
      <c r="B58" s="16" t="s">
        <v>83</v>
      </c>
      <c r="C58" s="15" t="s">
        <v>32</v>
      </c>
      <c r="D58" s="15" t="s">
        <v>19</v>
      </c>
      <c r="E58" s="15" t="s">
        <v>20</v>
      </c>
      <c r="F58" s="15" t="s">
        <v>43</v>
      </c>
      <c r="G58" s="15">
        <v>9</v>
      </c>
      <c r="H58" s="17">
        <v>39.57</v>
      </c>
      <c r="I58" s="17">
        <f>G58*H58</f>
        <v>356.13</v>
      </c>
      <c r="J58" s="15">
        <f>YEAR(B58)*100+MONTH(B58)</f>
        <v>202403</v>
      </c>
    </row>
    <row r="59" spans="1:10">
      <c r="A59" s="15">
        <v>1213</v>
      </c>
      <c r="B59" s="16" t="s">
        <v>84</v>
      </c>
      <c r="C59" s="15" t="s">
        <v>46</v>
      </c>
      <c r="D59" s="15" t="s">
        <v>35</v>
      </c>
      <c r="E59" s="15" t="s">
        <v>24</v>
      </c>
      <c r="F59" s="15" t="s">
        <v>30</v>
      </c>
      <c r="G59" s="15">
        <v>9</v>
      </c>
      <c r="H59" s="17">
        <v>192.18</v>
      </c>
      <c r="I59" s="17">
        <f>G59*H59</f>
        <v>1729.6200000000001</v>
      </c>
      <c r="J59" s="15">
        <f>YEAR(B59)*100+MONTH(B59)</f>
        <v>202403</v>
      </c>
    </row>
    <row r="60" spans="1:10">
      <c r="A60" s="15">
        <v>1234</v>
      </c>
      <c r="B60" s="16" t="s">
        <v>84</v>
      </c>
      <c r="C60" s="15" t="s">
        <v>18</v>
      </c>
      <c r="D60" s="15" t="s">
        <v>19</v>
      </c>
      <c r="E60" s="15" t="s">
        <v>36</v>
      </c>
      <c r="F60" s="15" t="s">
        <v>37</v>
      </c>
      <c r="G60" s="15">
        <v>11</v>
      </c>
      <c r="H60" s="17">
        <v>148.9</v>
      </c>
      <c r="I60" s="17">
        <f>G60*H60</f>
        <v>1637.9</v>
      </c>
      <c r="J60" s="15">
        <f>YEAR(B60)*100+MONTH(B60)</f>
        <v>202403</v>
      </c>
    </row>
    <row r="61" spans="1:10">
      <c r="A61" s="15">
        <v>1261</v>
      </c>
      <c r="B61" s="16" t="s">
        <v>85</v>
      </c>
      <c r="C61" s="15" t="s">
        <v>28</v>
      </c>
      <c r="D61" s="15" t="s">
        <v>19</v>
      </c>
      <c r="E61" s="15" t="s">
        <v>36</v>
      </c>
      <c r="F61" s="15" t="s">
        <v>75</v>
      </c>
      <c r="G61" s="15">
        <v>4</v>
      </c>
      <c r="H61" s="17">
        <v>554.88</v>
      </c>
      <c r="I61" s="17">
        <f>G61*H61</f>
        <v>2219.52</v>
      </c>
      <c r="J61" s="15">
        <f>YEAR(B61)*100+MONTH(B61)</f>
        <v>202403</v>
      </c>
    </row>
    <row r="62" spans="1:10">
      <c r="A62" s="15">
        <v>1277</v>
      </c>
      <c r="B62" s="16" t="s">
        <v>85</v>
      </c>
      <c r="C62" s="15" t="s">
        <v>42</v>
      </c>
      <c r="D62" s="15" t="s">
        <v>26</v>
      </c>
      <c r="E62" s="15" t="s">
        <v>36</v>
      </c>
      <c r="F62" s="15" t="s">
        <v>75</v>
      </c>
      <c r="G62" s="15">
        <v>12</v>
      </c>
      <c r="H62" s="17">
        <v>565.47</v>
      </c>
      <c r="I62" s="17">
        <f>G62*H62</f>
        <v>6785.64</v>
      </c>
      <c r="J62" s="15">
        <f>YEAR(B62)*100+MONTH(B62)</f>
        <v>202403</v>
      </c>
    </row>
    <row r="63" spans="1:10">
      <c r="A63" s="15">
        <v>1084</v>
      </c>
      <c r="B63" s="16" t="s">
        <v>86</v>
      </c>
      <c r="C63" s="15" t="s">
        <v>32</v>
      </c>
      <c r="D63" s="15" t="s">
        <v>19</v>
      </c>
      <c r="E63" s="15" t="s">
        <v>38</v>
      </c>
      <c r="F63" s="15" t="s">
        <v>49</v>
      </c>
      <c r="G63" s="15">
        <v>3</v>
      </c>
      <c r="H63" s="17">
        <v>436.41</v>
      </c>
      <c r="I63" s="17">
        <f>G63*H63</f>
        <v>1309.23</v>
      </c>
      <c r="J63" s="15">
        <f>YEAR(B63)*100+MONTH(B63)</f>
        <v>202403</v>
      </c>
    </row>
    <row r="64" spans="1:10">
      <c r="A64" s="15">
        <v>1237</v>
      </c>
      <c r="B64" s="16" t="s">
        <v>86</v>
      </c>
      <c r="C64" s="15" t="s">
        <v>46</v>
      </c>
      <c r="D64" s="15" t="s">
        <v>29</v>
      </c>
      <c r="E64" s="15" t="s">
        <v>38</v>
      </c>
      <c r="F64" s="15" t="s">
        <v>49</v>
      </c>
      <c r="G64" s="15">
        <v>2</v>
      </c>
      <c r="H64" s="17">
        <v>431.3</v>
      </c>
      <c r="I64" s="17">
        <f>G64*H64</f>
        <v>862.6</v>
      </c>
      <c r="J64" s="15">
        <f>YEAR(B64)*100+MONTH(B64)</f>
        <v>202403</v>
      </c>
    </row>
    <row r="65" spans="1:10">
      <c r="A65" s="15">
        <v>1244</v>
      </c>
      <c r="B65" s="16" t="s">
        <v>86</v>
      </c>
      <c r="C65" s="15" t="s">
        <v>46</v>
      </c>
      <c r="D65" s="15" t="s">
        <v>26</v>
      </c>
      <c r="E65" s="15" t="s">
        <v>20</v>
      </c>
      <c r="F65" s="15" t="s">
        <v>57</v>
      </c>
      <c r="G65" s="15">
        <v>6</v>
      </c>
      <c r="H65" s="17">
        <v>15.05</v>
      </c>
      <c r="I65" s="17">
        <f>G65*H65</f>
        <v>90.300000000000011</v>
      </c>
      <c r="J65" s="15">
        <f>YEAR(B65)*100+MONTH(B65)</f>
        <v>202403</v>
      </c>
    </row>
    <row r="66" spans="1:10">
      <c r="A66" s="15">
        <v>1249</v>
      </c>
      <c r="B66" s="16" t="s">
        <v>87</v>
      </c>
      <c r="C66" s="15" t="s">
        <v>32</v>
      </c>
      <c r="D66" s="15" t="s">
        <v>19</v>
      </c>
      <c r="E66" s="15" t="s">
        <v>38</v>
      </c>
      <c r="F66" s="15" t="s">
        <v>49</v>
      </c>
      <c r="G66" s="15">
        <v>8</v>
      </c>
      <c r="H66" s="17">
        <v>430.78</v>
      </c>
      <c r="I66" s="17">
        <f>G66*H66</f>
        <v>3446.24</v>
      </c>
      <c r="J66" s="15">
        <f>YEAR(B66)*100+MONTH(B66)</f>
        <v>202403</v>
      </c>
    </row>
    <row r="67" spans="1:10">
      <c r="A67" s="15">
        <v>1056</v>
      </c>
      <c r="B67" s="16" t="s">
        <v>88</v>
      </c>
      <c r="C67" s="15" t="s">
        <v>28</v>
      </c>
      <c r="D67" s="15" t="s">
        <v>35</v>
      </c>
      <c r="E67" s="15" t="s">
        <v>24</v>
      </c>
      <c r="F67" s="15" t="s">
        <v>45</v>
      </c>
      <c r="G67" s="15">
        <v>6</v>
      </c>
      <c r="H67" s="17">
        <v>203.6</v>
      </c>
      <c r="I67" s="17">
        <f>G67*H67</f>
        <v>1221.5999999999999</v>
      </c>
      <c r="J67" s="15">
        <f>YEAR(B67)*100+MONTH(B67)</f>
        <v>202403</v>
      </c>
    </row>
    <row r="68" spans="1:10">
      <c r="A68" s="15">
        <v>1078</v>
      </c>
      <c r="B68" s="16" t="s">
        <v>88</v>
      </c>
      <c r="C68" s="15" t="s">
        <v>33</v>
      </c>
      <c r="D68" s="15" t="s">
        <v>29</v>
      </c>
      <c r="E68" s="15" t="s">
        <v>36</v>
      </c>
      <c r="F68" s="15" t="s">
        <v>54</v>
      </c>
      <c r="G68" s="15">
        <v>4</v>
      </c>
      <c r="H68" s="17">
        <v>3267.82</v>
      </c>
      <c r="I68" s="17">
        <f>G68*H68</f>
        <v>13071.28</v>
      </c>
      <c r="J68" s="15">
        <f>YEAR(B68)*100+MONTH(B68)</f>
        <v>202403</v>
      </c>
    </row>
    <row r="69" spans="1:10">
      <c r="A69" s="15">
        <v>1314</v>
      </c>
      <c r="B69" s="16" t="s">
        <v>88</v>
      </c>
      <c r="C69" s="15" t="s">
        <v>28</v>
      </c>
      <c r="D69" s="15" t="s">
        <v>19</v>
      </c>
      <c r="E69" s="15" t="s">
        <v>38</v>
      </c>
      <c r="F69" s="15" t="s">
        <v>49</v>
      </c>
      <c r="G69" s="15">
        <v>12</v>
      </c>
      <c r="H69" s="17">
        <v>447.5</v>
      </c>
      <c r="I69" s="17">
        <f>G69*H69</f>
        <v>5370</v>
      </c>
      <c r="J69" s="15">
        <f>YEAR(B69)*100+MONTH(B69)</f>
        <v>202403</v>
      </c>
    </row>
    <row r="70" spans="1:10">
      <c r="A70" s="15">
        <v>1146</v>
      </c>
      <c r="B70" s="16" t="s">
        <v>89</v>
      </c>
      <c r="C70" s="15" t="s">
        <v>46</v>
      </c>
      <c r="D70" s="15" t="s">
        <v>29</v>
      </c>
      <c r="E70" s="15" t="s">
        <v>24</v>
      </c>
      <c r="F70" s="15" t="s">
        <v>30</v>
      </c>
      <c r="G70" s="15">
        <v>6</v>
      </c>
      <c r="H70" s="17">
        <v>186.76</v>
      </c>
      <c r="I70" s="17">
        <f>G70*H70</f>
        <v>1120.56</v>
      </c>
      <c r="J70" s="15">
        <f>YEAR(B70)*100+MONTH(B70)</f>
        <v>202403</v>
      </c>
    </row>
    <row r="71" spans="1:10">
      <c r="A71" s="15">
        <v>1286</v>
      </c>
      <c r="B71" s="16" t="s">
        <v>90</v>
      </c>
      <c r="C71" s="15" t="s">
        <v>33</v>
      </c>
      <c r="D71" s="15" t="s">
        <v>35</v>
      </c>
      <c r="E71" s="15" t="s">
        <v>20</v>
      </c>
      <c r="F71" s="15" t="s">
        <v>57</v>
      </c>
      <c r="G71" s="15">
        <v>12</v>
      </c>
      <c r="H71" s="17">
        <v>14.12</v>
      </c>
      <c r="I71" s="17">
        <f>G71*H71</f>
        <v>169.44</v>
      </c>
      <c r="J71" s="15">
        <f>YEAR(B71)*100+MONTH(B71)</f>
        <v>202403</v>
      </c>
    </row>
    <row r="72" spans="1:10">
      <c r="A72" s="15">
        <v>1058</v>
      </c>
      <c r="B72" s="16" t="s">
        <v>91</v>
      </c>
      <c r="C72" s="15" t="s">
        <v>42</v>
      </c>
      <c r="D72" s="15" t="s">
        <v>26</v>
      </c>
      <c r="E72" s="15" t="s">
        <v>38</v>
      </c>
      <c r="F72" s="15" t="s">
        <v>49</v>
      </c>
      <c r="G72" s="15">
        <v>3</v>
      </c>
      <c r="H72" s="17">
        <v>471.11</v>
      </c>
      <c r="I72" s="17">
        <f>G72*H72</f>
        <v>1413.33</v>
      </c>
      <c r="J72" s="15">
        <f>YEAR(B72)*100+MONTH(B72)</f>
        <v>202403</v>
      </c>
    </row>
    <row r="73" spans="1:10">
      <c r="A73" s="15">
        <v>1060</v>
      </c>
      <c r="B73" s="16" t="s">
        <v>92</v>
      </c>
      <c r="C73" s="15" t="s">
        <v>33</v>
      </c>
      <c r="D73" s="15" t="s">
        <v>19</v>
      </c>
      <c r="E73" s="15" t="s">
        <v>36</v>
      </c>
      <c r="F73" s="15" t="s">
        <v>75</v>
      </c>
      <c r="G73" s="15">
        <v>8</v>
      </c>
      <c r="H73" s="17">
        <v>620.03</v>
      </c>
      <c r="I73" s="17">
        <f>G73*H73</f>
        <v>4960.24</v>
      </c>
      <c r="J73" s="15">
        <f>YEAR(B73)*100+MONTH(B73)</f>
        <v>202403</v>
      </c>
    </row>
    <row r="74" spans="1:10">
      <c r="A74" s="15">
        <v>1298</v>
      </c>
      <c r="B74" s="16" t="s">
        <v>92</v>
      </c>
      <c r="C74" s="15" t="s">
        <v>33</v>
      </c>
      <c r="D74" s="15" t="s">
        <v>23</v>
      </c>
      <c r="E74" s="15" t="s">
        <v>20</v>
      </c>
      <c r="F74" s="15" t="s">
        <v>43</v>
      </c>
      <c r="G74" s="15">
        <v>4</v>
      </c>
      <c r="H74" s="17">
        <v>40.549999999999997</v>
      </c>
      <c r="I74" s="17">
        <f>G74*H74</f>
        <v>162.19999999999999</v>
      </c>
      <c r="J74" s="15">
        <f>YEAR(B74)*100+MONTH(B74)</f>
        <v>202403</v>
      </c>
    </row>
    <row r="75" spans="1:10">
      <c r="A75" s="15">
        <v>1054</v>
      </c>
      <c r="B75" s="16" t="s">
        <v>93</v>
      </c>
      <c r="C75" s="15" t="s">
        <v>28</v>
      </c>
      <c r="D75" s="15" t="s">
        <v>26</v>
      </c>
      <c r="E75" s="15" t="s">
        <v>24</v>
      </c>
      <c r="F75" s="15" t="s">
        <v>30</v>
      </c>
      <c r="G75" s="15">
        <v>9</v>
      </c>
      <c r="H75" s="17">
        <v>192.23</v>
      </c>
      <c r="I75" s="17">
        <f>G75*H75</f>
        <v>1730.07</v>
      </c>
      <c r="J75" s="15">
        <f>YEAR(B75)*100+MONTH(B75)</f>
        <v>202403</v>
      </c>
    </row>
    <row r="76" spans="1:10">
      <c r="A76" s="15">
        <v>1135</v>
      </c>
      <c r="B76" s="16" t="s">
        <v>93</v>
      </c>
      <c r="C76" s="15" t="s">
        <v>32</v>
      </c>
      <c r="D76" s="15" t="s">
        <v>23</v>
      </c>
      <c r="E76" s="15" t="s">
        <v>20</v>
      </c>
      <c r="F76" s="15" t="s">
        <v>21</v>
      </c>
      <c r="G76" s="15">
        <v>5</v>
      </c>
      <c r="H76" s="17">
        <v>25.25</v>
      </c>
      <c r="I76" s="17">
        <f>G76*H76</f>
        <v>126.25</v>
      </c>
      <c r="J76" s="15">
        <f>YEAR(B76)*100+MONTH(B76)</f>
        <v>202403</v>
      </c>
    </row>
    <row r="77" spans="1:10">
      <c r="A77" s="15">
        <v>1010</v>
      </c>
      <c r="B77" s="16" t="s">
        <v>94</v>
      </c>
      <c r="C77" s="15" t="s">
        <v>32</v>
      </c>
      <c r="D77" s="15" t="s">
        <v>26</v>
      </c>
      <c r="E77" s="15" t="s">
        <v>20</v>
      </c>
      <c r="F77" s="15" t="s">
        <v>21</v>
      </c>
      <c r="G77" s="15">
        <v>5</v>
      </c>
      <c r="H77" s="17">
        <v>23.68</v>
      </c>
      <c r="I77" s="17">
        <f>G77*H77</f>
        <v>118.4</v>
      </c>
      <c r="J77" s="15">
        <f>YEAR(B77)*100+MONTH(B77)</f>
        <v>202403</v>
      </c>
    </row>
    <row r="78" spans="1:10">
      <c r="A78" s="15">
        <v>1098</v>
      </c>
      <c r="B78" s="16" t="s">
        <v>94</v>
      </c>
      <c r="C78" s="15" t="s">
        <v>46</v>
      </c>
      <c r="D78" s="15" t="s">
        <v>23</v>
      </c>
      <c r="E78" s="15" t="s">
        <v>20</v>
      </c>
      <c r="F78" s="15" t="s">
        <v>57</v>
      </c>
      <c r="G78" s="15">
        <v>5</v>
      </c>
      <c r="H78" s="17">
        <v>14.93</v>
      </c>
      <c r="I78" s="17">
        <f>G78*H78</f>
        <v>74.650000000000006</v>
      </c>
      <c r="J78" s="15">
        <f>YEAR(B78)*100+MONTH(B78)</f>
        <v>202403</v>
      </c>
    </row>
    <row r="79" spans="1:10">
      <c r="A79" s="15">
        <v>1169</v>
      </c>
      <c r="B79" s="16" t="s">
        <v>95</v>
      </c>
      <c r="C79" s="15" t="s">
        <v>46</v>
      </c>
      <c r="D79" s="15" t="s">
        <v>29</v>
      </c>
      <c r="E79" s="15" t="s">
        <v>38</v>
      </c>
      <c r="F79" s="15" t="s">
        <v>49</v>
      </c>
      <c r="G79" s="15">
        <v>6</v>
      </c>
      <c r="H79" s="17">
        <v>460.01</v>
      </c>
      <c r="I79" s="17">
        <f>G79*H79</f>
        <v>2760.06</v>
      </c>
      <c r="J79" s="15">
        <f>YEAR(B79)*100+MONTH(B79)</f>
        <v>202403</v>
      </c>
    </row>
    <row r="80" spans="1:10">
      <c r="A80" s="15">
        <v>1222</v>
      </c>
      <c r="B80" s="16" t="s">
        <v>96</v>
      </c>
      <c r="C80" s="15" t="s">
        <v>42</v>
      </c>
      <c r="D80" s="15" t="s">
        <v>29</v>
      </c>
      <c r="E80" s="15" t="s">
        <v>24</v>
      </c>
      <c r="F80" s="15" t="s">
        <v>25</v>
      </c>
      <c r="G80" s="15">
        <v>10</v>
      </c>
      <c r="H80" s="17">
        <v>162.88999999999999</v>
      </c>
      <c r="I80" s="17">
        <f>G80*H80</f>
        <v>1628.8999999999999</v>
      </c>
      <c r="J80" s="15">
        <f>YEAR(B80)*100+MONTH(B80)</f>
        <v>202403</v>
      </c>
    </row>
    <row r="81" spans="1:10">
      <c r="A81" s="15">
        <v>1059</v>
      </c>
      <c r="B81" s="16" t="s">
        <v>97</v>
      </c>
      <c r="C81" s="15" t="s">
        <v>33</v>
      </c>
      <c r="D81" s="15" t="s">
        <v>35</v>
      </c>
      <c r="E81" s="15" t="s">
        <v>20</v>
      </c>
      <c r="F81" s="15" t="s">
        <v>21</v>
      </c>
      <c r="G81" s="15">
        <v>12</v>
      </c>
      <c r="H81" s="17">
        <v>25.61</v>
      </c>
      <c r="I81" s="17">
        <f>G81*H81</f>
        <v>307.32</v>
      </c>
      <c r="J81" s="15">
        <f>YEAR(B81)*100+MONTH(B81)</f>
        <v>202404</v>
      </c>
    </row>
    <row r="82" spans="1:10">
      <c r="A82" s="15">
        <v>1116</v>
      </c>
      <c r="B82" s="16" t="s">
        <v>97</v>
      </c>
      <c r="C82" s="15" t="s">
        <v>18</v>
      </c>
      <c r="D82" s="15" t="s">
        <v>26</v>
      </c>
      <c r="E82" s="15" t="s">
        <v>20</v>
      </c>
      <c r="F82" s="15" t="s">
        <v>57</v>
      </c>
      <c r="G82" s="15">
        <v>3</v>
      </c>
      <c r="H82" s="17">
        <v>15.18</v>
      </c>
      <c r="I82" s="17">
        <f>G82*H82</f>
        <v>45.54</v>
      </c>
      <c r="J82" s="15">
        <f>YEAR(B82)*100+MONTH(B82)</f>
        <v>202404</v>
      </c>
    </row>
    <row r="83" spans="1:10">
      <c r="A83" s="15">
        <v>1236</v>
      </c>
      <c r="B83" s="16" t="s">
        <v>98</v>
      </c>
      <c r="C83" s="15" t="s">
        <v>33</v>
      </c>
      <c r="D83" s="15" t="s">
        <v>19</v>
      </c>
      <c r="E83" s="15" t="s">
        <v>38</v>
      </c>
      <c r="F83" s="15" t="s">
        <v>52</v>
      </c>
      <c r="G83" s="15">
        <v>8</v>
      </c>
      <c r="H83" s="17">
        <v>730.24</v>
      </c>
      <c r="I83" s="17">
        <f>G83*H83</f>
        <v>5841.92</v>
      </c>
      <c r="J83" s="15">
        <f>YEAR(B83)*100+MONTH(B83)</f>
        <v>202404</v>
      </c>
    </row>
    <row r="84" spans="1:10">
      <c r="A84" s="15">
        <v>1144</v>
      </c>
      <c r="B84" s="16" t="s">
        <v>99</v>
      </c>
      <c r="C84" s="15" t="s">
        <v>18</v>
      </c>
      <c r="D84" s="15" t="s">
        <v>29</v>
      </c>
      <c r="E84" s="15" t="s">
        <v>38</v>
      </c>
      <c r="F84" s="15" t="s">
        <v>49</v>
      </c>
      <c r="G84" s="15">
        <v>7</v>
      </c>
      <c r="H84" s="17">
        <v>430.16</v>
      </c>
      <c r="I84" s="17">
        <f>G84*H84</f>
        <v>3011.1200000000003</v>
      </c>
      <c r="J84" s="15">
        <f>YEAR(B84)*100+MONTH(B84)</f>
        <v>202404</v>
      </c>
    </row>
    <row r="85" spans="1:10">
      <c r="A85" s="15">
        <v>1035</v>
      </c>
      <c r="B85" s="16" t="s">
        <v>100</v>
      </c>
      <c r="C85" s="15" t="s">
        <v>33</v>
      </c>
      <c r="D85" s="15" t="s">
        <v>35</v>
      </c>
      <c r="E85" s="15" t="s">
        <v>38</v>
      </c>
      <c r="F85" s="15" t="s">
        <v>39</v>
      </c>
      <c r="G85" s="15">
        <v>7</v>
      </c>
      <c r="H85" s="17">
        <v>371.76</v>
      </c>
      <c r="I85" s="17">
        <f>G85*H85</f>
        <v>2602.3199999999997</v>
      </c>
      <c r="J85" s="15">
        <f>YEAR(B85)*100+MONTH(B85)</f>
        <v>202404</v>
      </c>
    </row>
    <row r="86" spans="1:10">
      <c r="A86" s="15">
        <v>1114</v>
      </c>
      <c r="B86" s="16" t="s">
        <v>100</v>
      </c>
      <c r="C86" s="15" t="s">
        <v>46</v>
      </c>
      <c r="D86" s="15" t="s">
        <v>29</v>
      </c>
      <c r="E86" s="15" t="s">
        <v>38</v>
      </c>
      <c r="F86" s="15" t="s">
        <v>39</v>
      </c>
      <c r="G86" s="15">
        <v>12</v>
      </c>
      <c r="H86" s="17">
        <v>373.52</v>
      </c>
      <c r="I86" s="17">
        <f>G86*H86</f>
        <v>4482.24</v>
      </c>
      <c r="J86" s="15">
        <f>YEAR(B86)*100+MONTH(B86)</f>
        <v>202404</v>
      </c>
    </row>
    <row r="87" spans="1:10">
      <c r="A87" s="15">
        <v>1052</v>
      </c>
      <c r="B87" s="16" t="s">
        <v>101</v>
      </c>
      <c r="C87" s="15" t="s">
        <v>28</v>
      </c>
      <c r="D87" s="15" t="s">
        <v>23</v>
      </c>
      <c r="E87" s="15" t="s">
        <v>20</v>
      </c>
      <c r="F87" s="15" t="s">
        <v>43</v>
      </c>
      <c r="G87" s="15">
        <v>1</v>
      </c>
      <c r="H87" s="17">
        <v>39.340000000000003</v>
      </c>
      <c r="I87" s="17">
        <f>G87*H87</f>
        <v>39.340000000000003</v>
      </c>
      <c r="J87" s="15">
        <f>YEAR(B87)*100+MONTH(B87)</f>
        <v>202404</v>
      </c>
    </row>
    <row r="88" spans="1:10">
      <c r="A88" s="15">
        <v>1086</v>
      </c>
      <c r="B88" s="16" t="s">
        <v>102</v>
      </c>
      <c r="C88" s="15" t="s">
        <v>32</v>
      </c>
      <c r="D88" s="15" t="s">
        <v>26</v>
      </c>
      <c r="E88" s="15" t="s">
        <v>24</v>
      </c>
      <c r="F88" s="15" t="s">
        <v>25</v>
      </c>
      <c r="G88" s="15">
        <v>10</v>
      </c>
      <c r="H88" s="17">
        <v>166.02</v>
      </c>
      <c r="I88" s="17">
        <f>G88*H88</f>
        <v>1660.2</v>
      </c>
      <c r="J88" s="15">
        <f>YEAR(B88)*100+MONTH(B88)</f>
        <v>202404</v>
      </c>
    </row>
    <row r="89" spans="1:10">
      <c r="A89" s="15">
        <v>1184</v>
      </c>
      <c r="B89" s="16" t="s">
        <v>102</v>
      </c>
      <c r="C89" s="15" t="s">
        <v>18</v>
      </c>
      <c r="D89" s="15" t="s">
        <v>19</v>
      </c>
      <c r="E89" s="15" t="s">
        <v>36</v>
      </c>
      <c r="F89" s="15" t="s">
        <v>80</v>
      </c>
      <c r="G89" s="15">
        <v>4</v>
      </c>
      <c r="H89" s="17">
        <v>1793.21</v>
      </c>
      <c r="I89" s="17">
        <f>G89*H89</f>
        <v>7172.84</v>
      </c>
      <c r="J89" s="15">
        <f>YEAR(B89)*100+MONTH(B89)</f>
        <v>202404</v>
      </c>
    </row>
    <row r="90" spans="1:10">
      <c r="A90" s="15">
        <v>1317</v>
      </c>
      <c r="B90" s="16" t="s">
        <v>103</v>
      </c>
      <c r="C90" s="15" t="s">
        <v>18</v>
      </c>
      <c r="D90" s="15" t="s">
        <v>19</v>
      </c>
      <c r="E90" s="15" t="s">
        <v>20</v>
      </c>
      <c r="F90" s="15" t="s">
        <v>43</v>
      </c>
      <c r="G90" s="15">
        <v>7</v>
      </c>
      <c r="H90" s="17">
        <v>39.29</v>
      </c>
      <c r="I90" s="17">
        <f>G90*H90</f>
        <v>275.02999999999997</v>
      </c>
      <c r="J90" s="15">
        <f>YEAR(B90)*100+MONTH(B90)</f>
        <v>202404</v>
      </c>
    </row>
    <row r="91" spans="1:10">
      <c r="A91" s="15">
        <v>1057</v>
      </c>
      <c r="B91" s="16" t="s">
        <v>104</v>
      </c>
      <c r="C91" s="15" t="s">
        <v>42</v>
      </c>
      <c r="D91" s="15" t="s">
        <v>29</v>
      </c>
      <c r="E91" s="15" t="s">
        <v>38</v>
      </c>
      <c r="F91" s="15" t="s">
        <v>39</v>
      </c>
      <c r="G91" s="15">
        <v>9</v>
      </c>
      <c r="H91" s="17">
        <v>354.68</v>
      </c>
      <c r="I91" s="17">
        <f>G91*H91</f>
        <v>3192.12</v>
      </c>
      <c r="J91" s="15">
        <f>YEAR(B91)*100+MONTH(B91)</f>
        <v>202404</v>
      </c>
    </row>
    <row r="92" spans="1:10">
      <c r="A92" s="15">
        <v>1014</v>
      </c>
      <c r="B92" s="16" t="s">
        <v>105</v>
      </c>
      <c r="C92" s="15" t="s">
        <v>42</v>
      </c>
      <c r="D92" s="15" t="s">
        <v>19</v>
      </c>
      <c r="E92" s="15" t="s">
        <v>24</v>
      </c>
      <c r="F92" s="15" t="s">
        <v>25</v>
      </c>
      <c r="G92" s="15">
        <v>11</v>
      </c>
      <c r="H92" s="17">
        <v>165.6</v>
      </c>
      <c r="I92" s="17">
        <f>G92*H92</f>
        <v>1821.6</v>
      </c>
      <c r="J92" s="15">
        <f>YEAR(B92)*100+MONTH(B92)</f>
        <v>202404</v>
      </c>
    </row>
    <row r="93" spans="1:10">
      <c r="A93" s="15">
        <v>1107</v>
      </c>
      <c r="B93" s="16" t="s">
        <v>105</v>
      </c>
      <c r="C93" s="15" t="s">
        <v>32</v>
      </c>
      <c r="D93" s="15" t="s">
        <v>35</v>
      </c>
      <c r="E93" s="15" t="s">
        <v>20</v>
      </c>
      <c r="F93" s="15" t="s">
        <v>21</v>
      </c>
      <c r="G93" s="15">
        <v>10</v>
      </c>
      <c r="H93" s="17">
        <v>24.11</v>
      </c>
      <c r="I93" s="17">
        <f>G93*H93</f>
        <v>241.1</v>
      </c>
      <c r="J93" s="15">
        <f>YEAR(B93)*100+MONTH(B93)</f>
        <v>202404</v>
      </c>
    </row>
    <row r="94" spans="1:10">
      <c r="A94" s="15">
        <v>1201</v>
      </c>
      <c r="B94" s="16" t="s">
        <v>105</v>
      </c>
      <c r="C94" s="15" t="s">
        <v>18</v>
      </c>
      <c r="D94" s="15" t="s">
        <v>29</v>
      </c>
      <c r="E94" s="15" t="s">
        <v>38</v>
      </c>
      <c r="F94" s="15" t="s">
        <v>39</v>
      </c>
      <c r="G94" s="15">
        <v>2</v>
      </c>
      <c r="H94" s="17">
        <v>373.42</v>
      </c>
      <c r="I94" s="17">
        <f>G94*H94</f>
        <v>746.84</v>
      </c>
      <c r="J94" s="15">
        <f>YEAR(B94)*100+MONTH(B94)</f>
        <v>202404</v>
      </c>
    </row>
    <row r="95" spans="1:10">
      <c r="A95" s="15">
        <v>1048</v>
      </c>
      <c r="B95" s="16" t="s">
        <v>106</v>
      </c>
      <c r="C95" s="15" t="s">
        <v>33</v>
      </c>
      <c r="D95" s="15" t="s">
        <v>35</v>
      </c>
      <c r="E95" s="15" t="s">
        <v>20</v>
      </c>
      <c r="F95" s="15" t="s">
        <v>57</v>
      </c>
      <c r="G95" s="15">
        <v>2</v>
      </c>
      <c r="H95" s="17">
        <v>15.62</v>
      </c>
      <c r="I95" s="17">
        <f>G95*H95</f>
        <v>31.24</v>
      </c>
      <c r="J95" s="15">
        <f>YEAR(B95)*100+MONTH(B95)</f>
        <v>202404</v>
      </c>
    </row>
    <row r="96" spans="1:10">
      <c r="A96" s="15">
        <v>1195</v>
      </c>
      <c r="B96" s="16" t="s">
        <v>107</v>
      </c>
      <c r="C96" s="15" t="s">
        <v>18</v>
      </c>
      <c r="D96" s="15" t="s">
        <v>23</v>
      </c>
      <c r="E96" s="15" t="s">
        <v>24</v>
      </c>
      <c r="F96" s="15" t="s">
        <v>25</v>
      </c>
      <c r="G96" s="15">
        <v>7</v>
      </c>
      <c r="H96" s="17">
        <v>165.67</v>
      </c>
      <c r="I96" s="17">
        <f>G96*H96</f>
        <v>1159.6899999999998</v>
      </c>
      <c r="J96" s="15">
        <f>YEAR(B96)*100+MONTH(B96)</f>
        <v>202404</v>
      </c>
    </row>
    <row r="97" spans="1:10">
      <c r="A97" s="15">
        <v>1206</v>
      </c>
      <c r="B97" s="16" t="s">
        <v>107</v>
      </c>
      <c r="C97" s="15" t="s">
        <v>18</v>
      </c>
      <c r="D97" s="15" t="s">
        <v>35</v>
      </c>
      <c r="E97" s="15" t="s">
        <v>24</v>
      </c>
      <c r="F97" s="15" t="s">
        <v>25</v>
      </c>
      <c r="G97" s="15">
        <v>3</v>
      </c>
      <c r="H97" s="17">
        <v>156.63999999999999</v>
      </c>
      <c r="I97" s="17">
        <f>G97*H97</f>
        <v>469.91999999999996</v>
      </c>
      <c r="J97" s="15">
        <f>YEAR(B97)*100+MONTH(B97)</f>
        <v>202404</v>
      </c>
    </row>
    <row r="98" spans="1:10">
      <c r="A98" s="15">
        <v>1251</v>
      </c>
      <c r="B98" s="16" t="s">
        <v>107</v>
      </c>
      <c r="C98" s="15" t="s">
        <v>46</v>
      </c>
      <c r="D98" s="15" t="s">
        <v>23</v>
      </c>
      <c r="E98" s="15" t="s">
        <v>38</v>
      </c>
      <c r="F98" s="15" t="s">
        <v>39</v>
      </c>
      <c r="G98" s="15">
        <v>10</v>
      </c>
      <c r="H98" s="17">
        <v>396.05</v>
      </c>
      <c r="I98" s="17">
        <f>G98*H98</f>
        <v>3960.5</v>
      </c>
      <c r="J98" s="15">
        <f>YEAR(B98)*100+MONTH(B98)</f>
        <v>202404</v>
      </c>
    </row>
    <row r="99" spans="1:10">
      <c r="A99" s="15">
        <v>1004</v>
      </c>
      <c r="B99" s="16" t="s">
        <v>108</v>
      </c>
      <c r="C99" s="15" t="s">
        <v>33</v>
      </c>
      <c r="D99" s="15" t="s">
        <v>23</v>
      </c>
      <c r="E99" s="15" t="s">
        <v>24</v>
      </c>
      <c r="F99" s="15" t="s">
        <v>30</v>
      </c>
      <c r="G99" s="15">
        <v>1</v>
      </c>
      <c r="H99" s="17">
        <v>181.67</v>
      </c>
      <c r="I99" s="17">
        <f>G99*H99</f>
        <v>181.67</v>
      </c>
      <c r="J99" s="15">
        <f>YEAR(B99)*100+MONTH(B99)</f>
        <v>202404</v>
      </c>
    </row>
    <row r="100" spans="1:10">
      <c r="A100" s="15">
        <v>1166</v>
      </c>
      <c r="B100" s="16" t="s">
        <v>108</v>
      </c>
      <c r="C100" s="15" t="s">
        <v>32</v>
      </c>
      <c r="D100" s="15" t="s">
        <v>19</v>
      </c>
      <c r="E100" s="15" t="s">
        <v>38</v>
      </c>
      <c r="F100" s="15" t="s">
        <v>39</v>
      </c>
      <c r="G100" s="15">
        <v>12</v>
      </c>
      <c r="H100" s="17">
        <v>361.98</v>
      </c>
      <c r="I100" s="17">
        <f>G100*H100</f>
        <v>4343.76</v>
      </c>
      <c r="J100" s="15">
        <f>YEAR(B100)*100+MONTH(B100)</f>
        <v>202404</v>
      </c>
    </row>
    <row r="101" spans="1:10">
      <c r="A101" s="15">
        <v>1219</v>
      </c>
      <c r="B101" s="16" t="s">
        <v>109</v>
      </c>
      <c r="C101" s="15" t="s">
        <v>28</v>
      </c>
      <c r="D101" s="15" t="s">
        <v>29</v>
      </c>
      <c r="E101" s="15" t="s">
        <v>20</v>
      </c>
      <c r="F101" s="15" t="s">
        <v>57</v>
      </c>
      <c r="G101" s="15">
        <v>11</v>
      </c>
      <c r="H101" s="17">
        <v>13.95</v>
      </c>
      <c r="I101" s="17">
        <f>G101*H101</f>
        <v>153.44999999999999</v>
      </c>
      <c r="J101" s="15">
        <f>YEAR(B101)*100+MONTH(B101)</f>
        <v>202404</v>
      </c>
    </row>
    <row r="102" spans="1:10">
      <c r="A102" s="15">
        <v>1320</v>
      </c>
      <c r="B102" s="16" t="s">
        <v>110</v>
      </c>
      <c r="C102" s="15" t="s">
        <v>32</v>
      </c>
      <c r="D102" s="15" t="s">
        <v>23</v>
      </c>
      <c r="E102" s="15" t="s">
        <v>20</v>
      </c>
      <c r="F102" s="15" t="s">
        <v>21</v>
      </c>
      <c r="G102" s="15">
        <v>12</v>
      </c>
      <c r="H102" s="17">
        <v>25.29</v>
      </c>
      <c r="I102" s="17">
        <f>G102*H102</f>
        <v>303.48</v>
      </c>
      <c r="J102" s="15">
        <f>YEAR(B102)*100+MONTH(B102)</f>
        <v>202404</v>
      </c>
    </row>
    <row r="103" spans="1:10">
      <c r="A103" s="15">
        <v>1030</v>
      </c>
      <c r="B103" s="16" t="s">
        <v>111</v>
      </c>
      <c r="C103" s="15" t="s">
        <v>46</v>
      </c>
      <c r="D103" s="15" t="s">
        <v>19</v>
      </c>
      <c r="E103" s="15" t="s">
        <v>36</v>
      </c>
      <c r="F103" s="15" t="s">
        <v>54</v>
      </c>
      <c r="G103" s="15">
        <v>2</v>
      </c>
      <c r="H103" s="17">
        <v>3301.61</v>
      </c>
      <c r="I103" s="17">
        <f>G103*H103</f>
        <v>6603.22</v>
      </c>
      <c r="J103" s="15">
        <f>YEAR(B103)*100+MONTH(B103)</f>
        <v>202404</v>
      </c>
    </row>
    <row r="104" spans="1:10">
      <c r="A104" s="15">
        <v>1126</v>
      </c>
      <c r="B104" s="16" t="s">
        <v>112</v>
      </c>
      <c r="C104" s="15" t="s">
        <v>28</v>
      </c>
      <c r="D104" s="15" t="s">
        <v>19</v>
      </c>
      <c r="E104" s="15" t="s">
        <v>20</v>
      </c>
      <c r="F104" s="15" t="s">
        <v>43</v>
      </c>
      <c r="G104" s="15">
        <v>8</v>
      </c>
      <c r="H104" s="17">
        <v>38.270000000000003</v>
      </c>
      <c r="I104" s="17">
        <f>G104*H104</f>
        <v>306.16000000000003</v>
      </c>
      <c r="J104" s="15">
        <f>YEAR(B104)*100+MONTH(B104)</f>
        <v>202404</v>
      </c>
    </row>
    <row r="105" spans="1:10">
      <c r="A105" s="15">
        <v>1159</v>
      </c>
      <c r="B105" s="16" t="s">
        <v>112</v>
      </c>
      <c r="C105" s="15" t="s">
        <v>32</v>
      </c>
      <c r="D105" s="15" t="s">
        <v>26</v>
      </c>
      <c r="E105" s="15" t="s">
        <v>24</v>
      </c>
      <c r="F105" s="15" t="s">
        <v>30</v>
      </c>
      <c r="G105" s="15">
        <v>5</v>
      </c>
      <c r="H105" s="17">
        <v>181.07</v>
      </c>
      <c r="I105" s="17">
        <f>G105*H105</f>
        <v>905.34999999999991</v>
      </c>
      <c r="J105" s="15">
        <f>YEAR(B105)*100+MONTH(B105)</f>
        <v>202404</v>
      </c>
    </row>
    <row r="106" spans="1:10">
      <c r="A106" s="15">
        <v>1157</v>
      </c>
      <c r="B106" s="16" t="s">
        <v>113</v>
      </c>
      <c r="C106" s="15" t="s">
        <v>33</v>
      </c>
      <c r="D106" s="15" t="s">
        <v>19</v>
      </c>
      <c r="E106" s="15" t="s">
        <v>24</v>
      </c>
      <c r="F106" s="15" t="s">
        <v>30</v>
      </c>
      <c r="G106" s="15">
        <v>3</v>
      </c>
      <c r="H106" s="17">
        <v>191.64</v>
      </c>
      <c r="I106" s="17">
        <f>G106*H106</f>
        <v>574.91999999999996</v>
      </c>
      <c r="J106" s="15">
        <f>YEAR(B106)*100+MONTH(B106)</f>
        <v>202405</v>
      </c>
    </row>
    <row r="107" spans="1:10">
      <c r="A107" s="15">
        <v>1082</v>
      </c>
      <c r="B107" s="16" t="s">
        <v>114</v>
      </c>
      <c r="C107" s="15" t="s">
        <v>18</v>
      </c>
      <c r="D107" s="15" t="s">
        <v>23</v>
      </c>
      <c r="E107" s="15" t="s">
        <v>20</v>
      </c>
      <c r="F107" s="15" t="s">
        <v>43</v>
      </c>
      <c r="G107" s="15">
        <v>4</v>
      </c>
      <c r="H107" s="17">
        <v>39.32</v>
      </c>
      <c r="I107" s="17">
        <f>G107*H107</f>
        <v>157.28</v>
      </c>
      <c r="J107" s="15">
        <f>YEAR(B107)*100+MONTH(B107)</f>
        <v>202405</v>
      </c>
    </row>
    <row r="108" spans="1:10">
      <c r="A108" s="15">
        <v>1121</v>
      </c>
      <c r="B108" s="16" t="s">
        <v>115</v>
      </c>
      <c r="C108" s="15" t="s">
        <v>33</v>
      </c>
      <c r="D108" s="15" t="s">
        <v>29</v>
      </c>
      <c r="E108" s="15" t="s">
        <v>36</v>
      </c>
      <c r="F108" s="15" t="s">
        <v>75</v>
      </c>
      <c r="G108" s="15">
        <v>10</v>
      </c>
      <c r="H108" s="17">
        <v>599.29</v>
      </c>
      <c r="I108" s="17">
        <f>G108*H108</f>
        <v>5992.9</v>
      </c>
      <c r="J108" s="15">
        <f>YEAR(B108)*100+MONTH(B108)</f>
        <v>202405</v>
      </c>
    </row>
    <row r="109" spans="1:10">
      <c r="A109" s="15">
        <v>1274</v>
      </c>
      <c r="B109" s="16" t="s">
        <v>115</v>
      </c>
      <c r="C109" s="15" t="s">
        <v>46</v>
      </c>
      <c r="D109" s="15" t="s">
        <v>23</v>
      </c>
      <c r="E109" s="15" t="s">
        <v>36</v>
      </c>
      <c r="F109" s="15" t="s">
        <v>54</v>
      </c>
      <c r="G109" s="15">
        <v>8</v>
      </c>
      <c r="H109" s="17">
        <v>3250.04</v>
      </c>
      <c r="I109" s="17">
        <f>G109*H109</f>
        <v>26000.32</v>
      </c>
      <c r="J109" s="15">
        <f>YEAR(B109)*100+MONTH(B109)</f>
        <v>202405</v>
      </c>
    </row>
    <row r="110" spans="1:10">
      <c r="A110" s="15">
        <v>1186</v>
      </c>
      <c r="B110" s="16" t="s">
        <v>116</v>
      </c>
      <c r="C110" s="15" t="s">
        <v>33</v>
      </c>
      <c r="D110" s="15" t="s">
        <v>26</v>
      </c>
      <c r="E110" s="15" t="s">
        <v>38</v>
      </c>
      <c r="F110" s="15" t="s">
        <v>49</v>
      </c>
      <c r="G110" s="15">
        <v>1</v>
      </c>
      <c r="H110" s="17">
        <v>452.67</v>
      </c>
      <c r="I110" s="17">
        <f>G110*H110</f>
        <v>452.67</v>
      </c>
      <c r="J110" s="15">
        <f>YEAR(B110)*100+MONTH(B110)</f>
        <v>202405</v>
      </c>
    </row>
    <row r="111" spans="1:10">
      <c r="A111" s="15">
        <v>1119</v>
      </c>
      <c r="B111" s="16" t="s">
        <v>117</v>
      </c>
      <c r="C111" s="15" t="s">
        <v>42</v>
      </c>
      <c r="D111" s="15" t="s">
        <v>26</v>
      </c>
      <c r="E111" s="15" t="s">
        <v>24</v>
      </c>
      <c r="F111" s="15" t="s">
        <v>45</v>
      </c>
      <c r="G111" s="15">
        <v>7</v>
      </c>
      <c r="H111" s="17">
        <v>225.91</v>
      </c>
      <c r="I111" s="17">
        <f>G111*H111</f>
        <v>1581.37</v>
      </c>
      <c r="J111" s="15">
        <f>YEAR(B111)*100+MONTH(B111)</f>
        <v>202405</v>
      </c>
    </row>
    <row r="112" spans="1:10">
      <c r="A112" s="15">
        <v>1015</v>
      </c>
      <c r="B112" s="16" t="s">
        <v>118</v>
      </c>
      <c r="C112" s="15" t="s">
        <v>18</v>
      </c>
      <c r="D112" s="15" t="s">
        <v>29</v>
      </c>
      <c r="E112" s="15" t="s">
        <v>38</v>
      </c>
      <c r="F112" s="15" t="s">
        <v>49</v>
      </c>
      <c r="G112" s="15">
        <v>9</v>
      </c>
      <c r="H112" s="17">
        <v>457.58</v>
      </c>
      <c r="I112" s="17">
        <f>G112*H112</f>
        <v>4118.22</v>
      </c>
      <c r="J112" s="15">
        <f>YEAR(B112)*100+MONTH(B112)</f>
        <v>202405</v>
      </c>
    </row>
    <row r="113" spans="1:10">
      <c r="A113" s="15">
        <v>1124</v>
      </c>
      <c r="B113" s="16" t="s">
        <v>118</v>
      </c>
      <c r="C113" s="15" t="s">
        <v>28</v>
      </c>
      <c r="D113" s="15" t="s">
        <v>19</v>
      </c>
      <c r="E113" s="15" t="s">
        <v>36</v>
      </c>
      <c r="F113" s="15" t="s">
        <v>80</v>
      </c>
      <c r="G113" s="15">
        <v>9</v>
      </c>
      <c r="H113" s="17">
        <v>1712.13</v>
      </c>
      <c r="I113" s="17">
        <f>G113*H113</f>
        <v>15409.170000000002</v>
      </c>
      <c r="J113" s="15">
        <f>YEAR(B113)*100+MONTH(B113)</f>
        <v>202405</v>
      </c>
    </row>
    <row r="114" spans="1:10">
      <c r="A114" s="15">
        <v>1127</v>
      </c>
      <c r="B114" s="16" t="s">
        <v>118</v>
      </c>
      <c r="C114" s="15" t="s">
        <v>32</v>
      </c>
      <c r="D114" s="15" t="s">
        <v>19</v>
      </c>
      <c r="E114" s="15" t="s">
        <v>38</v>
      </c>
      <c r="F114" s="15" t="s">
        <v>52</v>
      </c>
      <c r="G114" s="15">
        <v>4</v>
      </c>
      <c r="H114" s="17">
        <v>654.44000000000005</v>
      </c>
      <c r="I114" s="17">
        <f>G114*H114</f>
        <v>2617.7600000000002</v>
      </c>
      <c r="J114" s="15">
        <f>YEAR(B114)*100+MONTH(B114)</f>
        <v>202405</v>
      </c>
    </row>
    <row r="115" spans="1:10">
      <c r="A115" s="15">
        <v>1128</v>
      </c>
      <c r="B115" s="16" t="s">
        <v>119</v>
      </c>
      <c r="C115" s="15" t="s">
        <v>46</v>
      </c>
      <c r="D115" s="15" t="s">
        <v>29</v>
      </c>
      <c r="E115" s="15" t="s">
        <v>38</v>
      </c>
      <c r="F115" s="15" t="s">
        <v>49</v>
      </c>
      <c r="G115" s="15">
        <v>5</v>
      </c>
      <c r="H115" s="17">
        <v>417.49</v>
      </c>
      <c r="I115" s="17">
        <f>G115*H115</f>
        <v>2087.4499999999998</v>
      </c>
      <c r="J115" s="15">
        <f>YEAR(B115)*100+MONTH(B115)</f>
        <v>202405</v>
      </c>
    </row>
    <row r="116" spans="1:10">
      <c r="A116" s="15">
        <v>1145</v>
      </c>
      <c r="B116" s="16" t="s">
        <v>119</v>
      </c>
      <c r="C116" s="15" t="s">
        <v>46</v>
      </c>
      <c r="D116" s="15" t="s">
        <v>23</v>
      </c>
      <c r="E116" s="15" t="s">
        <v>36</v>
      </c>
      <c r="F116" s="15" t="s">
        <v>37</v>
      </c>
      <c r="G116" s="15">
        <v>10</v>
      </c>
      <c r="H116" s="17">
        <v>152.16</v>
      </c>
      <c r="I116" s="17">
        <f>G116*H116</f>
        <v>1521.6</v>
      </c>
      <c r="J116" s="15">
        <f>YEAR(B116)*100+MONTH(B116)</f>
        <v>202405</v>
      </c>
    </row>
    <row r="117" spans="1:10">
      <c r="A117" s="15">
        <v>1266</v>
      </c>
      <c r="B117" s="16" t="s">
        <v>119</v>
      </c>
      <c r="C117" s="15" t="s">
        <v>33</v>
      </c>
      <c r="D117" s="15" t="s">
        <v>29</v>
      </c>
      <c r="E117" s="15" t="s">
        <v>36</v>
      </c>
      <c r="F117" s="15" t="s">
        <v>75</v>
      </c>
      <c r="G117" s="15">
        <v>10</v>
      </c>
      <c r="H117" s="17">
        <v>558.16</v>
      </c>
      <c r="I117" s="17">
        <f>G117*H117</f>
        <v>5581.5999999999995</v>
      </c>
      <c r="J117" s="15">
        <f>YEAR(B117)*100+MONTH(B117)</f>
        <v>202405</v>
      </c>
    </row>
    <row r="118" spans="1:10">
      <c r="A118" s="15">
        <v>1012</v>
      </c>
      <c r="B118" s="16" t="s">
        <v>120</v>
      </c>
      <c r="C118" s="15" t="s">
        <v>33</v>
      </c>
      <c r="D118" s="15" t="s">
        <v>26</v>
      </c>
      <c r="E118" s="15" t="s">
        <v>38</v>
      </c>
      <c r="F118" s="15" t="s">
        <v>39</v>
      </c>
      <c r="G118" s="15">
        <v>1</v>
      </c>
      <c r="H118" s="17">
        <v>365.62</v>
      </c>
      <c r="I118" s="17">
        <f>G118*H118</f>
        <v>365.62</v>
      </c>
      <c r="J118" s="15">
        <f>YEAR(B118)*100+MONTH(B118)</f>
        <v>202405</v>
      </c>
    </row>
    <row r="119" spans="1:10">
      <c r="A119" s="15">
        <v>1130</v>
      </c>
      <c r="B119" s="16" t="s">
        <v>121</v>
      </c>
      <c r="C119" s="15" t="s">
        <v>42</v>
      </c>
      <c r="D119" s="15" t="s">
        <v>35</v>
      </c>
      <c r="E119" s="15" t="s">
        <v>24</v>
      </c>
      <c r="F119" s="15" t="s">
        <v>25</v>
      </c>
      <c r="G119" s="15">
        <v>1</v>
      </c>
      <c r="H119" s="17">
        <v>148.87</v>
      </c>
      <c r="I119" s="17">
        <f>G119*H119</f>
        <v>148.87</v>
      </c>
      <c r="J119" s="15">
        <f>YEAR(B119)*100+MONTH(B119)</f>
        <v>202405</v>
      </c>
    </row>
    <row r="120" spans="1:10">
      <c r="A120" s="15">
        <v>1170</v>
      </c>
      <c r="B120" s="16" t="s">
        <v>121</v>
      </c>
      <c r="C120" s="15" t="s">
        <v>18</v>
      </c>
      <c r="D120" s="15" t="s">
        <v>35</v>
      </c>
      <c r="E120" s="15" t="s">
        <v>38</v>
      </c>
      <c r="F120" s="15" t="s">
        <v>52</v>
      </c>
      <c r="G120" s="15">
        <v>8</v>
      </c>
      <c r="H120" s="17">
        <v>727.18</v>
      </c>
      <c r="I120" s="17">
        <f>G120*H120</f>
        <v>5817.44</v>
      </c>
      <c r="J120" s="15">
        <f>YEAR(B120)*100+MONTH(B120)</f>
        <v>202405</v>
      </c>
    </row>
    <row r="121" spans="1:10">
      <c r="A121" s="15">
        <v>1208</v>
      </c>
      <c r="B121" s="16" t="s">
        <v>121</v>
      </c>
      <c r="C121" s="15" t="s">
        <v>42</v>
      </c>
      <c r="D121" s="15" t="s">
        <v>23</v>
      </c>
      <c r="E121" s="15" t="s">
        <v>24</v>
      </c>
      <c r="F121" s="15" t="s">
        <v>30</v>
      </c>
      <c r="G121" s="15">
        <v>10</v>
      </c>
      <c r="H121" s="17">
        <v>185.27</v>
      </c>
      <c r="I121" s="17">
        <f>G121*H121</f>
        <v>1852.7</v>
      </c>
      <c r="J121" s="15">
        <f>YEAR(B121)*100+MONTH(B121)</f>
        <v>202405</v>
      </c>
    </row>
    <row r="122" spans="1:10">
      <c r="A122" s="15">
        <v>1209</v>
      </c>
      <c r="B122" s="16" t="s">
        <v>121</v>
      </c>
      <c r="C122" s="15" t="s">
        <v>28</v>
      </c>
      <c r="D122" s="15" t="s">
        <v>35</v>
      </c>
      <c r="E122" s="15" t="s">
        <v>38</v>
      </c>
      <c r="F122" s="15" t="s">
        <v>39</v>
      </c>
      <c r="G122" s="15">
        <v>7</v>
      </c>
      <c r="H122" s="17">
        <v>355.22</v>
      </c>
      <c r="I122" s="17">
        <f>G122*H122</f>
        <v>2486.54</v>
      </c>
      <c r="J122" s="15">
        <f>YEAR(B122)*100+MONTH(B122)</f>
        <v>202405</v>
      </c>
    </row>
    <row r="123" spans="1:10">
      <c r="A123" s="15">
        <v>1264</v>
      </c>
      <c r="B123" s="16" t="s">
        <v>121</v>
      </c>
      <c r="C123" s="15" t="s">
        <v>32</v>
      </c>
      <c r="D123" s="15" t="s">
        <v>23</v>
      </c>
      <c r="E123" s="15" t="s">
        <v>36</v>
      </c>
      <c r="F123" s="15" t="s">
        <v>37</v>
      </c>
      <c r="G123" s="15">
        <v>7</v>
      </c>
      <c r="H123" s="17">
        <v>146.52000000000001</v>
      </c>
      <c r="I123" s="17">
        <f>G123*H123</f>
        <v>1025.6400000000001</v>
      </c>
      <c r="J123" s="15">
        <f>YEAR(B123)*100+MONTH(B123)</f>
        <v>202405</v>
      </c>
    </row>
    <row r="124" spans="1:10">
      <c r="A124" s="15">
        <v>1053</v>
      </c>
      <c r="B124" s="16" t="s">
        <v>122</v>
      </c>
      <c r="C124" s="15" t="s">
        <v>32</v>
      </c>
      <c r="D124" s="15" t="s">
        <v>35</v>
      </c>
      <c r="E124" s="15" t="s">
        <v>36</v>
      </c>
      <c r="F124" s="15" t="s">
        <v>54</v>
      </c>
      <c r="G124" s="15">
        <v>3</v>
      </c>
      <c r="H124" s="17">
        <v>3082.76</v>
      </c>
      <c r="I124" s="17">
        <f>G124*H124</f>
        <v>9248.2800000000007</v>
      </c>
      <c r="J124" s="15">
        <f>YEAR(B124)*100+MONTH(B124)</f>
        <v>202405</v>
      </c>
    </row>
    <row r="125" spans="1:10">
      <c r="A125" s="15">
        <v>1031</v>
      </c>
      <c r="B125" s="16" t="s">
        <v>123</v>
      </c>
      <c r="C125" s="15" t="s">
        <v>46</v>
      </c>
      <c r="D125" s="15" t="s">
        <v>29</v>
      </c>
      <c r="E125" s="15" t="s">
        <v>24</v>
      </c>
      <c r="F125" s="15" t="s">
        <v>45</v>
      </c>
      <c r="G125" s="15">
        <v>12</v>
      </c>
      <c r="H125" s="17">
        <v>217.82</v>
      </c>
      <c r="I125" s="17">
        <f>G125*H125</f>
        <v>2613.84</v>
      </c>
      <c r="J125" s="15">
        <f>YEAR(B125)*100+MONTH(B125)</f>
        <v>202405</v>
      </c>
    </row>
    <row r="126" spans="1:10">
      <c r="A126" s="15">
        <v>1180</v>
      </c>
      <c r="B126" s="16" t="s">
        <v>124</v>
      </c>
      <c r="C126" s="15" t="s">
        <v>33</v>
      </c>
      <c r="D126" s="15" t="s">
        <v>35</v>
      </c>
      <c r="E126" s="15" t="s">
        <v>36</v>
      </c>
      <c r="F126" s="15" t="s">
        <v>37</v>
      </c>
      <c r="G126" s="15">
        <v>8</v>
      </c>
      <c r="H126" s="17">
        <v>142.24</v>
      </c>
      <c r="I126" s="17">
        <f>G126*H126</f>
        <v>1137.92</v>
      </c>
      <c r="J126" s="15">
        <f>YEAR(B126)*100+MONTH(B126)</f>
        <v>202405</v>
      </c>
    </row>
    <row r="127" spans="1:10">
      <c r="A127" s="15">
        <v>1243</v>
      </c>
      <c r="B127" s="16" t="s">
        <v>125</v>
      </c>
      <c r="C127" s="15" t="s">
        <v>33</v>
      </c>
      <c r="D127" s="15" t="s">
        <v>29</v>
      </c>
      <c r="E127" s="15" t="s">
        <v>24</v>
      </c>
      <c r="F127" s="15" t="s">
        <v>30</v>
      </c>
      <c r="G127" s="15">
        <v>3</v>
      </c>
      <c r="H127" s="17">
        <v>187.83</v>
      </c>
      <c r="I127" s="17">
        <f>G127*H127</f>
        <v>563.49</v>
      </c>
      <c r="J127" s="15">
        <f>YEAR(B127)*100+MONTH(B127)</f>
        <v>202405</v>
      </c>
    </row>
    <row r="128" spans="1:10">
      <c r="A128" s="15">
        <v>1301</v>
      </c>
      <c r="B128" s="16" t="s">
        <v>125</v>
      </c>
      <c r="C128" s="15" t="s">
        <v>32</v>
      </c>
      <c r="D128" s="15" t="s">
        <v>23</v>
      </c>
      <c r="E128" s="15" t="s">
        <v>24</v>
      </c>
      <c r="F128" s="15" t="s">
        <v>30</v>
      </c>
      <c r="G128" s="15">
        <v>11</v>
      </c>
      <c r="H128" s="17">
        <v>196.59</v>
      </c>
      <c r="I128" s="17">
        <f>G128*H128</f>
        <v>2162.4900000000002</v>
      </c>
      <c r="J128" s="15">
        <f>YEAR(B128)*100+MONTH(B128)</f>
        <v>202405</v>
      </c>
    </row>
    <row r="129" spans="1:10">
      <c r="A129" s="15">
        <v>1049</v>
      </c>
      <c r="B129" s="16" t="s">
        <v>126</v>
      </c>
      <c r="C129" s="15" t="s">
        <v>18</v>
      </c>
      <c r="D129" s="15" t="s">
        <v>29</v>
      </c>
      <c r="E129" s="15" t="s">
        <v>38</v>
      </c>
      <c r="F129" s="15" t="s">
        <v>52</v>
      </c>
      <c r="G129" s="15">
        <v>12</v>
      </c>
      <c r="H129" s="17">
        <v>719.87</v>
      </c>
      <c r="I129" s="17">
        <f>G129*H129</f>
        <v>8638.44</v>
      </c>
      <c r="J129" s="15">
        <f>YEAR(B129)*100+MONTH(B129)</f>
        <v>202405</v>
      </c>
    </row>
    <row r="130" spans="1:10">
      <c r="A130" s="15">
        <v>1232</v>
      </c>
      <c r="B130" s="16" t="s">
        <v>126</v>
      </c>
      <c r="C130" s="15" t="s">
        <v>33</v>
      </c>
      <c r="D130" s="15" t="s">
        <v>35</v>
      </c>
      <c r="E130" s="15" t="s">
        <v>20</v>
      </c>
      <c r="F130" s="15" t="s">
        <v>43</v>
      </c>
      <c r="G130" s="15">
        <v>10</v>
      </c>
      <c r="H130" s="17">
        <v>41.23</v>
      </c>
      <c r="I130" s="17">
        <f>G130*H130</f>
        <v>412.29999999999995</v>
      </c>
      <c r="J130" s="15">
        <f>YEAR(B130)*100+MONTH(B130)</f>
        <v>202405</v>
      </c>
    </row>
    <row r="131" spans="1:10">
      <c r="A131" s="15">
        <v>1302</v>
      </c>
      <c r="B131" s="16" t="s">
        <v>127</v>
      </c>
      <c r="C131" s="15" t="s">
        <v>32</v>
      </c>
      <c r="D131" s="15" t="s">
        <v>35</v>
      </c>
      <c r="E131" s="15" t="s">
        <v>36</v>
      </c>
      <c r="F131" s="15" t="s">
        <v>54</v>
      </c>
      <c r="G131" s="15">
        <v>5</v>
      </c>
      <c r="H131" s="17">
        <v>3123.27</v>
      </c>
      <c r="I131" s="17">
        <f>G131*H131</f>
        <v>15616.35</v>
      </c>
      <c r="J131" s="15">
        <f>YEAR(B131)*100+MONTH(B131)</f>
        <v>202405</v>
      </c>
    </row>
    <row r="132" spans="1:10">
      <c r="A132" s="15">
        <v>1129</v>
      </c>
      <c r="B132" s="16" t="s">
        <v>128</v>
      </c>
      <c r="C132" s="15" t="s">
        <v>32</v>
      </c>
      <c r="D132" s="15" t="s">
        <v>23</v>
      </c>
      <c r="E132" s="15" t="s">
        <v>24</v>
      </c>
      <c r="F132" s="15" t="s">
        <v>45</v>
      </c>
      <c r="G132" s="15">
        <v>5</v>
      </c>
      <c r="H132" s="17">
        <v>215.8</v>
      </c>
      <c r="I132" s="17">
        <f>G132*H132</f>
        <v>1079</v>
      </c>
      <c r="J132" s="15">
        <f>YEAR(B132)*100+MONTH(B132)</f>
        <v>202405</v>
      </c>
    </row>
    <row r="133" spans="1:10">
      <c r="A133" s="15">
        <v>1212</v>
      </c>
      <c r="B133" s="16" t="s">
        <v>129</v>
      </c>
      <c r="C133" s="15" t="s">
        <v>42</v>
      </c>
      <c r="D133" s="15" t="s">
        <v>19</v>
      </c>
      <c r="E133" s="15" t="s">
        <v>20</v>
      </c>
      <c r="F133" s="15" t="s">
        <v>57</v>
      </c>
      <c r="G133" s="15">
        <v>12</v>
      </c>
      <c r="H133" s="17">
        <v>13.82</v>
      </c>
      <c r="I133" s="17">
        <f>G133*H133</f>
        <v>165.84</v>
      </c>
      <c r="J133" s="15">
        <f>YEAR(B133)*100+MONTH(B133)</f>
        <v>202405</v>
      </c>
    </row>
    <row r="134" spans="1:10">
      <c r="A134" s="15">
        <v>1279</v>
      </c>
      <c r="B134" s="16" t="s">
        <v>129</v>
      </c>
      <c r="C134" s="15" t="s">
        <v>32</v>
      </c>
      <c r="D134" s="15" t="s">
        <v>19</v>
      </c>
      <c r="E134" s="15" t="s">
        <v>20</v>
      </c>
      <c r="F134" s="15" t="s">
        <v>57</v>
      </c>
      <c r="G134" s="15">
        <v>12</v>
      </c>
      <c r="H134" s="17">
        <v>15.19</v>
      </c>
      <c r="I134" s="17">
        <f>G134*H134</f>
        <v>182.28</v>
      </c>
      <c r="J134" s="15">
        <f>YEAR(B134)*100+MONTH(B134)</f>
        <v>202405</v>
      </c>
    </row>
    <row r="135" spans="1:10">
      <c r="A135" s="15">
        <v>1267</v>
      </c>
      <c r="B135" s="16" t="s">
        <v>130</v>
      </c>
      <c r="C135" s="15" t="s">
        <v>18</v>
      </c>
      <c r="D135" s="15" t="s">
        <v>35</v>
      </c>
      <c r="E135" s="15" t="s">
        <v>20</v>
      </c>
      <c r="F135" s="15" t="s">
        <v>57</v>
      </c>
      <c r="G135" s="15">
        <v>11</v>
      </c>
      <c r="H135" s="17">
        <v>13.96</v>
      </c>
      <c r="I135" s="17">
        <f>G135*H135</f>
        <v>153.56</v>
      </c>
      <c r="J135" s="15">
        <f>YEAR(B135)*100+MONTH(B135)</f>
        <v>202405</v>
      </c>
    </row>
    <row r="136" spans="1:10">
      <c r="A136" s="15">
        <v>1293</v>
      </c>
      <c r="B136" s="16" t="s">
        <v>131</v>
      </c>
      <c r="C136" s="15" t="s">
        <v>42</v>
      </c>
      <c r="D136" s="15" t="s">
        <v>23</v>
      </c>
      <c r="E136" s="15" t="s">
        <v>24</v>
      </c>
      <c r="F136" s="15" t="s">
        <v>45</v>
      </c>
      <c r="G136" s="15">
        <v>3</v>
      </c>
      <c r="H136" s="17">
        <v>222.09</v>
      </c>
      <c r="I136" s="17">
        <f>G136*H136</f>
        <v>666.27</v>
      </c>
      <c r="J136" s="15">
        <f>YEAR(B136)*100+MONTH(B136)</f>
        <v>202406</v>
      </c>
    </row>
    <row r="137" spans="1:10">
      <c r="A137" s="15">
        <v>1162</v>
      </c>
      <c r="B137" s="16" t="s">
        <v>132</v>
      </c>
      <c r="C137" s="15" t="s">
        <v>33</v>
      </c>
      <c r="D137" s="15" t="s">
        <v>23</v>
      </c>
      <c r="E137" s="15" t="s">
        <v>38</v>
      </c>
      <c r="F137" s="15" t="s">
        <v>52</v>
      </c>
      <c r="G137" s="15">
        <v>2</v>
      </c>
      <c r="H137" s="17">
        <v>721.65</v>
      </c>
      <c r="I137" s="17">
        <f>G137*H137</f>
        <v>1443.3</v>
      </c>
      <c r="J137" s="15">
        <f>YEAR(B137)*100+MONTH(B137)</f>
        <v>202406</v>
      </c>
    </row>
    <row r="138" spans="1:10">
      <c r="A138" s="15">
        <v>1190</v>
      </c>
      <c r="B138" s="16" t="s">
        <v>132</v>
      </c>
      <c r="C138" s="15" t="s">
        <v>42</v>
      </c>
      <c r="D138" s="15" t="s">
        <v>23</v>
      </c>
      <c r="E138" s="15" t="s">
        <v>24</v>
      </c>
      <c r="F138" s="15" t="s">
        <v>30</v>
      </c>
      <c r="G138" s="15">
        <v>1</v>
      </c>
      <c r="H138" s="17">
        <v>198.61</v>
      </c>
      <c r="I138" s="17">
        <f>G138*H138</f>
        <v>198.61</v>
      </c>
      <c r="J138" s="15">
        <f>YEAR(B138)*100+MONTH(B138)</f>
        <v>202406</v>
      </c>
    </row>
    <row r="139" spans="1:10">
      <c r="A139" s="15">
        <v>1072</v>
      </c>
      <c r="B139" s="16" t="s">
        <v>133</v>
      </c>
      <c r="C139" s="15" t="s">
        <v>46</v>
      </c>
      <c r="D139" s="15" t="s">
        <v>35</v>
      </c>
      <c r="E139" s="15" t="s">
        <v>20</v>
      </c>
      <c r="F139" s="15" t="s">
        <v>57</v>
      </c>
      <c r="G139" s="15">
        <v>10</v>
      </c>
      <c r="H139" s="17">
        <v>14.64</v>
      </c>
      <c r="I139" s="17">
        <f>G139*H139</f>
        <v>146.4</v>
      </c>
      <c r="J139" s="15">
        <f>YEAR(B139)*100+MONTH(B139)</f>
        <v>202406</v>
      </c>
    </row>
    <row r="140" spans="1:10">
      <c r="A140" s="15">
        <v>1177</v>
      </c>
      <c r="B140" s="16" t="s">
        <v>133</v>
      </c>
      <c r="C140" s="15" t="s">
        <v>33</v>
      </c>
      <c r="D140" s="15" t="s">
        <v>23</v>
      </c>
      <c r="E140" s="15" t="s">
        <v>24</v>
      </c>
      <c r="F140" s="15" t="s">
        <v>45</v>
      </c>
      <c r="G140" s="15">
        <v>9</v>
      </c>
      <c r="H140" s="17">
        <v>205.18</v>
      </c>
      <c r="I140" s="17">
        <f>G140*H140</f>
        <v>1846.6200000000001</v>
      </c>
      <c r="J140" s="15">
        <f>YEAR(B140)*100+MONTH(B140)</f>
        <v>202406</v>
      </c>
    </row>
    <row r="141" spans="1:10">
      <c r="A141" s="15">
        <v>1225</v>
      </c>
      <c r="B141" s="16" t="s">
        <v>134</v>
      </c>
      <c r="C141" s="15" t="s">
        <v>18</v>
      </c>
      <c r="D141" s="15" t="s">
        <v>26</v>
      </c>
      <c r="E141" s="15" t="s">
        <v>24</v>
      </c>
      <c r="F141" s="15" t="s">
        <v>25</v>
      </c>
      <c r="G141" s="15">
        <v>6</v>
      </c>
      <c r="H141" s="17">
        <v>147.97999999999999</v>
      </c>
      <c r="I141" s="17">
        <f>G141*H141</f>
        <v>887.87999999999988</v>
      </c>
      <c r="J141" s="15">
        <f>YEAR(B141)*100+MONTH(B141)</f>
        <v>202406</v>
      </c>
    </row>
    <row r="142" spans="1:10">
      <c r="A142" s="15">
        <v>1242</v>
      </c>
      <c r="B142" s="16" t="s">
        <v>134</v>
      </c>
      <c r="C142" s="15" t="s">
        <v>42</v>
      </c>
      <c r="D142" s="15" t="s">
        <v>23</v>
      </c>
      <c r="E142" s="15" t="s">
        <v>24</v>
      </c>
      <c r="F142" s="15" t="s">
        <v>45</v>
      </c>
      <c r="G142" s="15">
        <v>10</v>
      </c>
      <c r="H142" s="17">
        <v>212.92</v>
      </c>
      <c r="I142" s="17">
        <f>G142*H142</f>
        <v>2129.1999999999998</v>
      </c>
      <c r="J142" s="15">
        <f>YEAR(B142)*100+MONTH(B142)</f>
        <v>202406</v>
      </c>
    </row>
    <row r="143" spans="1:10">
      <c r="A143" s="15">
        <v>1215</v>
      </c>
      <c r="B143" s="16" t="s">
        <v>135</v>
      </c>
      <c r="C143" s="15" t="s">
        <v>42</v>
      </c>
      <c r="D143" s="15" t="s">
        <v>35</v>
      </c>
      <c r="E143" s="15" t="s">
        <v>24</v>
      </c>
      <c r="F143" s="15" t="s">
        <v>30</v>
      </c>
      <c r="G143" s="15">
        <v>11</v>
      </c>
      <c r="H143" s="17">
        <v>184.79</v>
      </c>
      <c r="I143" s="17">
        <f>G143*H143</f>
        <v>2032.6899999999998</v>
      </c>
      <c r="J143" s="15">
        <f>YEAR(B143)*100+MONTH(B143)</f>
        <v>202406</v>
      </c>
    </row>
    <row r="144" spans="1:10">
      <c r="A144" s="15">
        <v>1013</v>
      </c>
      <c r="B144" s="16" t="s">
        <v>136</v>
      </c>
      <c r="C144" s="15" t="s">
        <v>32</v>
      </c>
      <c r="D144" s="15" t="s">
        <v>35</v>
      </c>
      <c r="E144" s="15" t="s">
        <v>24</v>
      </c>
      <c r="F144" s="15" t="s">
        <v>25</v>
      </c>
      <c r="G144" s="15">
        <v>10</v>
      </c>
      <c r="H144" s="17">
        <v>148.58000000000001</v>
      </c>
      <c r="I144" s="17">
        <f>G144*H144</f>
        <v>1485.8000000000002</v>
      </c>
      <c r="J144" s="15">
        <f>YEAR(B144)*100+MONTH(B144)</f>
        <v>202406</v>
      </c>
    </row>
    <row r="145" spans="1:10">
      <c r="A145" s="15">
        <v>1045</v>
      </c>
      <c r="B145" s="16" t="s">
        <v>136</v>
      </c>
      <c r="C145" s="15" t="s">
        <v>33</v>
      </c>
      <c r="D145" s="15" t="s">
        <v>35</v>
      </c>
      <c r="E145" s="15" t="s">
        <v>20</v>
      </c>
      <c r="F145" s="15" t="s">
        <v>57</v>
      </c>
      <c r="G145" s="15">
        <v>6</v>
      </c>
      <c r="H145" s="17">
        <v>15.11</v>
      </c>
      <c r="I145" s="17">
        <f>G145*H145</f>
        <v>90.66</v>
      </c>
      <c r="J145" s="15">
        <f>YEAR(B145)*100+MONTH(B145)</f>
        <v>202406</v>
      </c>
    </row>
    <row r="146" spans="1:10">
      <c r="A146" s="15">
        <v>1296</v>
      </c>
      <c r="B146" s="16" t="s">
        <v>137</v>
      </c>
      <c r="C146" s="15" t="s">
        <v>33</v>
      </c>
      <c r="D146" s="15" t="s">
        <v>19</v>
      </c>
      <c r="E146" s="15" t="s">
        <v>38</v>
      </c>
      <c r="F146" s="15" t="s">
        <v>52</v>
      </c>
      <c r="G146" s="15">
        <v>8</v>
      </c>
      <c r="H146" s="17">
        <v>655.15</v>
      </c>
      <c r="I146" s="17">
        <f>G146*H146</f>
        <v>5241.2</v>
      </c>
      <c r="J146" s="15">
        <f>YEAR(B146)*100+MONTH(B146)</f>
        <v>202406</v>
      </c>
    </row>
    <row r="147" spans="1:10">
      <c r="A147" s="15">
        <v>1309</v>
      </c>
      <c r="B147" s="16" t="s">
        <v>137</v>
      </c>
      <c r="C147" s="15" t="s">
        <v>18</v>
      </c>
      <c r="D147" s="15" t="s">
        <v>29</v>
      </c>
      <c r="E147" s="15" t="s">
        <v>38</v>
      </c>
      <c r="F147" s="15" t="s">
        <v>52</v>
      </c>
      <c r="G147" s="15">
        <v>12</v>
      </c>
      <c r="H147" s="17">
        <v>734.15</v>
      </c>
      <c r="I147" s="17">
        <f>G147*H147</f>
        <v>8809.7999999999993</v>
      </c>
      <c r="J147" s="15">
        <f>YEAR(B147)*100+MONTH(B147)</f>
        <v>202406</v>
      </c>
    </row>
    <row r="148" spans="1:10">
      <c r="A148" s="15">
        <v>1192</v>
      </c>
      <c r="B148" s="16" t="s">
        <v>138</v>
      </c>
      <c r="C148" s="15" t="s">
        <v>32</v>
      </c>
      <c r="D148" s="15" t="s">
        <v>29</v>
      </c>
      <c r="E148" s="15" t="s">
        <v>38</v>
      </c>
      <c r="F148" s="15" t="s">
        <v>49</v>
      </c>
      <c r="G148" s="15">
        <v>10</v>
      </c>
      <c r="H148" s="17">
        <v>421.38</v>
      </c>
      <c r="I148" s="17">
        <f>G148*H148</f>
        <v>4213.8</v>
      </c>
      <c r="J148" s="15">
        <f>YEAR(B148)*100+MONTH(B148)</f>
        <v>202406</v>
      </c>
    </row>
    <row r="149" spans="1:10">
      <c r="A149" s="15">
        <v>1105</v>
      </c>
      <c r="B149" s="16" t="s">
        <v>139</v>
      </c>
      <c r="C149" s="15" t="s">
        <v>33</v>
      </c>
      <c r="D149" s="15" t="s">
        <v>23</v>
      </c>
      <c r="E149" s="15" t="s">
        <v>38</v>
      </c>
      <c r="F149" s="15" t="s">
        <v>49</v>
      </c>
      <c r="G149" s="15">
        <v>8</v>
      </c>
      <c r="H149" s="17">
        <v>430.32</v>
      </c>
      <c r="I149" s="17">
        <f>G149*H149</f>
        <v>3442.56</v>
      </c>
      <c r="J149" s="15">
        <f>YEAR(B149)*100+MONTH(B149)</f>
        <v>202406</v>
      </c>
    </row>
    <row r="150" spans="1:10">
      <c r="A150" s="15">
        <v>1207</v>
      </c>
      <c r="B150" s="16" t="s">
        <v>140</v>
      </c>
      <c r="C150" s="15" t="s">
        <v>28</v>
      </c>
      <c r="D150" s="15" t="s">
        <v>26</v>
      </c>
      <c r="E150" s="15" t="s">
        <v>36</v>
      </c>
      <c r="F150" s="15" t="s">
        <v>54</v>
      </c>
      <c r="G150" s="15">
        <v>10</v>
      </c>
      <c r="H150" s="17">
        <v>3008.72</v>
      </c>
      <c r="I150" s="17">
        <f>G150*H150</f>
        <v>30087.199999999997</v>
      </c>
      <c r="J150" s="15">
        <f>YEAR(B150)*100+MONTH(B150)</f>
        <v>202406</v>
      </c>
    </row>
    <row r="151" spans="1:10">
      <c r="A151" s="15">
        <v>1112</v>
      </c>
      <c r="B151" s="16" t="s">
        <v>141</v>
      </c>
      <c r="C151" s="15" t="s">
        <v>18</v>
      </c>
      <c r="D151" s="15" t="s">
        <v>19</v>
      </c>
      <c r="E151" s="15" t="s">
        <v>20</v>
      </c>
      <c r="F151" s="15" t="s">
        <v>43</v>
      </c>
      <c r="G151" s="15">
        <v>5</v>
      </c>
      <c r="H151" s="17">
        <v>39.159999999999997</v>
      </c>
      <c r="I151" s="17">
        <f>G151*H151</f>
        <v>195.79999999999998</v>
      </c>
      <c r="J151" s="15">
        <f>YEAR(B151)*100+MONTH(B151)</f>
        <v>202406</v>
      </c>
    </row>
    <row r="152" spans="1:10">
      <c r="A152" s="15">
        <v>1150</v>
      </c>
      <c r="B152" s="16" t="s">
        <v>141</v>
      </c>
      <c r="C152" s="15" t="s">
        <v>28</v>
      </c>
      <c r="D152" s="15" t="s">
        <v>19</v>
      </c>
      <c r="E152" s="15" t="s">
        <v>36</v>
      </c>
      <c r="F152" s="15" t="s">
        <v>75</v>
      </c>
      <c r="G152" s="15">
        <v>8</v>
      </c>
      <c r="H152" s="17">
        <v>559.78</v>
      </c>
      <c r="I152" s="17">
        <f>G152*H152</f>
        <v>4478.24</v>
      </c>
      <c r="J152" s="15">
        <f>YEAR(B152)*100+MONTH(B152)</f>
        <v>202406</v>
      </c>
    </row>
    <row r="153" spans="1:10">
      <c r="A153" s="15">
        <v>1311</v>
      </c>
      <c r="B153" s="16" t="s">
        <v>141</v>
      </c>
      <c r="C153" s="15" t="s">
        <v>32</v>
      </c>
      <c r="D153" s="15" t="s">
        <v>26</v>
      </c>
      <c r="E153" s="15" t="s">
        <v>36</v>
      </c>
      <c r="F153" s="15" t="s">
        <v>75</v>
      </c>
      <c r="G153" s="15">
        <v>12</v>
      </c>
      <c r="H153" s="17">
        <v>597.53</v>
      </c>
      <c r="I153" s="17">
        <f>G153*H153</f>
        <v>7170.36</v>
      </c>
      <c r="J153" s="15">
        <f>YEAR(B153)*100+MONTH(B153)</f>
        <v>202406</v>
      </c>
    </row>
    <row r="154" spans="1:10">
      <c r="A154" s="15">
        <v>1310</v>
      </c>
      <c r="B154" s="16" t="s">
        <v>142</v>
      </c>
      <c r="C154" s="15" t="s">
        <v>28</v>
      </c>
      <c r="D154" s="15" t="s">
        <v>35</v>
      </c>
      <c r="E154" s="15" t="s">
        <v>24</v>
      </c>
      <c r="F154" s="15" t="s">
        <v>30</v>
      </c>
      <c r="G154" s="15">
        <v>8</v>
      </c>
      <c r="H154" s="17">
        <v>188.7</v>
      </c>
      <c r="I154" s="17">
        <f>G154*H154</f>
        <v>1509.6</v>
      </c>
      <c r="J154" s="15">
        <f>YEAR(B154)*100+MONTH(B154)</f>
        <v>202406</v>
      </c>
    </row>
    <row r="155" spans="1:10">
      <c r="A155" s="15">
        <v>1204</v>
      </c>
      <c r="B155" s="16" t="s">
        <v>143</v>
      </c>
      <c r="C155" s="15" t="s">
        <v>46</v>
      </c>
      <c r="D155" s="15" t="s">
        <v>23</v>
      </c>
      <c r="E155" s="15" t="s">
        <v>20</v>
      </c>
      <c r="F155" s="15" t="s">
        <v>57</v>
      </c>
      <c r="G155" s="15">
        <v>3</v>
      </c>
      <c r="H155" s="17">
        <v>14.15</v>
      </c>
      <c r="I155" s="17">
        <f>G155*H155</f>
        <v>42.45</v>
      </c>
      <c r="J155" s="15">
        <f>YEAR(B155)*100+MONTH(B155)</f>
        <v>202406</v>
      </c>
    </row>
    <row r="156" spans="1:10">
      <c r="A156" s="15">
        <v>1231</v>
      </c>
      <c r="B156" s="16" t="s">
        <v>143</v>
      </c>
      <c r="C156" s="15" t="s">
        <v>46</v>
      </c>
      <c r="D156" s="15" t="s">
        <v>23</v>
      </c>
      <c r="E156" s="15" t="s">
        <v>36</v>
      </c>
      <c r="F156" s="15" t="s">
        <v>37</v>
      </c>
      <c r="G156" s="15">
        <v>2</v>
      </c>
      <c r="H156" s="17">
        <v>139.29</v>
      </c>
      <c r="I156" s="17">
        <f>G156*H156</f>
        <v>278.58</v>
      </c>
      <c r="J156" s="15">
        <f>YEAR(B156)*100+MONTH(B156)</f>
        <v>202406</v>
      </c>
    </row>
    <row r="157" spans="1:10">
      <c r="A157" s="15">
        <v>1005</v>
      </c>
      <c r="B157" s="16" t="s">
        <v>144</v>
      </c>
      <c r="C157" s="15" t="s">
        <v>28</v>
      </c>
      <c r="D157" s="15" t="s">
        <v>26</v>
      </c>
      <c r="E157" s="15" t="s">
        <v>20</v>
      </c>
      <c r="F157" s="15" t="s">
        <v>57</v>
      </c>
      <c r="G157" s="15">
        <v>6</v>
      </c>
      <c r="H157" s="17">
        <v>14.22</v>
      </c>
      <c r="I157" s="17">
        <f>G157*H157</f>
        <v>85.320000000000007</v>
      </c>
      <c r="J157" s="15">
        <f>YEAR(B157)*100+MONTH(B157)</f>
        <v>202406</v>
      </c>
    </row>
    <row r="158" spans="1:10">
      <c r="A158" s="15">
        <v>1295</v>
      </c>
      <c r="B158" s="16" t="s">
        <v>145</v>
      </c>
      <c r="C158" s="15" t="s">
        <v>46</v>
      </c>
      <c r="D158" s="15" t="s">
        <v>26</v>
      </c>
      <c r="E158" s="15" t="s">
        <v>24</v>
      </c>
      <c r="F158" s="15" t="s">
        <v>45</v>
      </c>
      <c r="G158" s="15">
        <v>9</v>
      </c>
      <c r="H158" s="17">
        <v>224.16</v>
      </c>
      <c r="I158" s="17">
        <f>G158*H158</f>
        <v>2017.44</v>
      </c>
      <c r="J158" s="15">
        <f>YEAR(B158)*100+MONTH(B158)</f>
        <v>202406</v>
      </c>
    </row>
    <row r="159" spans="1:10">
      <c r="A159" s="15">
        <v>1101</v>
      </c>
      <c r="B159" s="16" t="s">
        <v>146</v>
      </c>
      <c r="C159" s="15" t="s">
        <v>32</v>
      </c>
      <c r="D159" s="15" t="s">
        <v>35</v>
      </c>
      <c r="E159" s="15" t="s">
        <v>24</v>
      </c>
      <c r="F159" s="15" t="s">
        <v>30</v>
      </c>
      <c r="G159" s="15">
        <v>9</v>
      </c>
      <c r="H159" s="17">
        <v>183.95</v>
      </c>
      <c r="I159" s="17">
        <f>G159*H159</f>
        <v>1655.55</v>
      </c>
      <c r="J159" s="15">
        <f>YEAR(B159)*100+MONTH(B159)</f>
        <v>202406</v>
      </c>
    </row>
    <row r="160" spans="1:10">
      <c r="A160" s="15">
        <v>1255</v>
      </c>
      <c r="B160" s="16" t="s">
        <v>147</v>
      </c>
      <c r="C160" s="15" t="s">
        <v>32</v>
      </c>
      <c r="D160" s="15" t="s">
        <v>26</v>
      </c>
      <c r="E160" s="15" t="s">
        <v>38</v>
      </c>
      <c r="F160" s="15" t="s">
        <v>39</v>
      </c>
      <c r="G160" s="15">
        <v>11</v>
      </c>
      <c r="H160" s="17">
        <v>370.18</v>
      </c>
      <c r="I160" s="17">
        <f>G160*H160</f>
        <v>4071.98</v>
      </c>
      <c r="J160" s="15">
        <f>YEAR(B160)*100+MONTH(B160)</f>
        <v>202406</v>
      </c>
    </row>
    <row r="161" spans="1:10">
      <c r="A161" s="15">
        <v>1269</v>
      </c>
      <c r="B161" s="16" t="s">
        <v>147</v>
      </c>
      <c r="C161" s="15" t="s">
        <v>28</v>
      </c>
      <c r="D161" s="15" t="s">
        <v>23</v>
      </c>
      <c r="E161" s="15" t="s">
        <v>24</v>
      </c>
      <c r="F161" s="15" t="s">
        <v>25</v>
      </c>
      <c r="G161" s="15">
        <v>1</v>
      </c>
      <c r="H161" s="17">
        <v>160.5</v>
      </c>
      <c r="I161" s="17">
        <f>G161*H161</f>
        <v>160.5</v>
      </c>
      <c r="J161" s="15">
        <f>YEAR(B161)*100+MONTH(B161)</f>
        <v>202406</v>
      </c>
    </row>
    <row r="162" spans="1:10">
      <c r="A162" s="15">
        <v>1187</v>
      </c>
      <c r="B162" s="16" t="s">
        <v>148</v>
      </c>
      <c r="C162" s="15" t="s">
        <v>18</v>
      </c>
      <c r="D162" s="15" t="s">
        <v>26</v>
      </c>
      <c r="E162" s="15" t="s">
        <v>38</v>
      </c>
      <c r="F162" s="15" t="s">
        <v>39</v>
      </c>
      <c r="G162" s="15">
        <v>3</v>
      </c>
      <c r="H162" s="17">
        <v>365.59</v>
      </c>
      <c r="I162" s="17">
        <f>G162*H162</f>
        <v>1096.77</v>
      </c>
      <c r="J162" s="15">
        <f>YEAR(B162)*100+MONTH(B162)</f>
        <v>202407</v>
      </c>
    </row>
    <row r="163" spans="1:10">
      <c r="A163" s="15">
        <v>1008</v>
      </c>
      <c r="B163" s="16" t="s">
        <v>149</v>
      </c>
      <c r="C163" s="15" t="s">
        <v>33</v>
      </c>
      <c r="D163" s="15" t="s">
        <v>35</v>
      </c>
      <c r="E163" s="15" t="s">
        <v>38</v>
      </c>
      <c r="F163" s="15" t="s">
        <v>39</v>
      </c>
      <c r="G163" s="15">
        <v>11</v>
      </c>
      <c r="H163" s="17">
        <v>353.04</v>
      </c>
      <c r="I163" s="17">
        <f>G163*H163</f>
        <v>3883.44</v>
      </c>
      <c r="J163" s="15">
        <f>YEAR(B163)*100+MONTH(B163)</f>
        <v>202407</v>
      </c>
    </row>
    <row r="164" spans="1:10">
      <c r="A164" s="15">
        <v>1189</v>
      </c>
      <c r="B164" s="16" t="s">
        <v>149</v>
      </c>
      <c r="C164" s="15" t="s">
        <v>28</v>
      </c>
      <c r="D164" s="15" t="s">
        <v>29</v>
      </c>
      <c r="E164" s="15" t="s">
        <v>36</v>
      </c>
      <c r="F164" s="15" t="s">
        <v>75</v>
      </c>
      <c r="G164" s="15">
        <v>10</v>
      </c>
      <c r="H164" s="17">
        <v>591.29999999999995</v>
      </c>
      <c r="I164" s="17">
        <f>G164*H164</f>
        <v>5913</v>
      </c>
      <c r="J164" s="15">
        <f>YEAR(B164)*100+MONTH(B164)</f>
        <v>202407</v>
      </c>
    </row>
    <row r="165" spans="1:10">
      <c r="A165" s="15">
        <v>1280</v>
      </c>
      <c r="B165" s="16" t="s">
        <v>149</v>
      </c>
      <c r="C165" s="15" t="s">
        <v>33</v>
      </c>
      <c r="D165" s="15" t="s">
        <v>23</v>
      </c>
      <c r="E165" s="15" t="s">
        <v>38</v>
      </c>
      <c r="F165" s="15" t="s">
        <v>49</v>
      </c>
      <c r="G165" s="15">
        <v>3</v>
      </c>
      <c r="H165" s="17">
        <v>471.63</v>
      </c>
      <c r="I165" s="17">
        <f>G165*H165</f>
        <v>1414.8899999999999</v>
      </c>
      <c r="J165" s="15">
        <f>YEAR(B165)*100+MONTH(B165)</f>
        <v>202407</v>
      </c>
    </row>
    <row r="166" spans="1:10">
      <c r="A166" s="15">
        <v>1304</v>
      </c>
      <c r="B166" s="16" t="s">
        <v>149</v>
      </c>
      <c r="C166" s="15" t="s">
        <v>46</v>
      </c>
      <c r="D166" s="15" t="s">
        <v>35</v>
      </c>
      <c r="E166" s="15" t="s">
        <v>20</v>
      </c>
      <c r="F166" s="15" t="s">
        <v>57</v>
      </c>
      <c r="G166" s="15">
        <v>8</v>
      </c>
      <c r="H166" s="17">
        <v>14.55</v>
      </c>
      <c r="I166" s="17">
        <f>G166*H166</f>
        <v>116.4</v>
      </c>
      <c r="J166" s="15">
        <f>YEAR(B166)*100+MONTH(B166)</f>
        <v>202407</v>
      </c>
    </row>
    <row r="167" spans="1:10">
      <c r="A167" s="15">
        <v>1068</v>
      </c>
      <c r="B167" s="16" t="s">
        <v>150</v>
      </c>
      <c r="C167" s="15" t="s">
        <v>46</v>
      </c>
      <c r="D167" s="15" t="s">
        <v>35</v>
      </c>
      <c r="E167" s="15" t="s">
        <v>24</v>
      </c>
      <c r="F167" s="15" t="s">
        <v>45</v>
      </c>
      <c r="G167" s="15">
        <v>6</v>
      </c>
      <c r="H167" s="17">
        <v>229.54</v>
      </c>
      <c r="I167" s="17">
        <f>G167*H167</f>
        <v>1377.24</v>
      </c>
      <c r="J167" s="15">
        <f>YEAR(B167)*100+MONTH(B167)</f>
        <v>202407</v>
      </c>
    </row>
    <row r="168" spans="1:10">
      <c r="A168" s="15">
        <v>1168</v>
      </c>
      <c r="B168" s="16" t="s">
        <v>150</v>
      </c>
      <c r="C168" s="15" t="s">
        <v>32</v>
      </c>
      <c r="D168" s="15" t="s">
        <v>23</v>
      </c>
      <c r="E168" s="15" t="s">
        <v>38</v>
      </c>
      <c r="F168" s="15" t="s">
        <v>49</v>
      </c>
      <c r="G168" s="15">
        <v>6</v>
      </c>
      <c r="H168" s="17">
        <v>467.21</v>
      </c>
      <c r="I168" s="17">
        <f>G168*H168</f>
        <v>2803.2599999999998</v>
      </c>
      <c r="J168" s="15">
        <f>YEAR(B168)*100+MONTH(B168)</f>
        <v>202407</v>
      </c>
    </row>
    <row r="169" spans="1:10">
      <c r="A169" s="15">
        <v>1270</v>
      </c>
      <c r="B169" s="16" t="s">
        <v>150</v>
      </c>
      <c r="C169" s="15" t="s">
        <v>32</v>
      </c>
      <c r="D169" s="15" t="s">
        <v>23</v>
      </c>
      <c r="E169" s="15" t="s">
        <v>38</v>
      </c>
      <c r="F169" s="15" t="s">
        <v>49</v>
      </c>
      <c r="G169" s="15">
        <v>10</v>
      </c>
      <c r="H169" s="17">
        <v>422.35</v>
      </c>
      <c r="I169" s="17">
        <f>G169*H169</f>
        <v>4223.5</v>
      </c>
      <c r="J169" s="15">
        <f>YEAR(B169)*100+MONTH(B169)</f>
        <v>202407</v>
      </c>
    </row>
    <row r="170" spans="1:10">
      <c r="A170" s="15">
        <v>1097</v>
      </c>
      <c r="B170" s="16" t="s">
        <v>151</v>
      </c>
      <c r="C170" s="15" t="s">
        <v>32</v>
      </c>
      <c r="D170" s="15" t="s">
        <v>26</v>
      </c>
      <c r="E170" s="15" t="s">
        <v>38</v>
      </c>
      <c r="F170" s="15" t="s">
        <v>39</v>
      </c>
      <c r="G170" s="15">
        <v>12</v>
      </c>
      <c r="H170" s="17">
        <v>379.6</v>
      </c>
      <c r="I170" s="17">
        <f>G170*H170</f>
        <v>4555.2000000000007</v>
      </c>
      <c r="J170" s="15">
        <f>YEAR(B170)*100+MONTH(B170)</f>
        <v>202407</v>
      </c>
    </row>
    <row r="171" spans="1:10">
      <c r="A171" s="15">
        <v>1202</v>
      </c>
      <c r="B171" s="16" t="s">
        <v>151</v>
      </c>
      <c r="C171" s="15" t="s">
        <v>46</v>
      </c>
      <c r="D171" s="15" t="s">
        <v>29</v>
      </c>
      <c r="E171" s="15" t="s">
        <v>36</v>
      </c>
      <c r="F171" s="15" t="s">
        <v>37</v>
      </c>
      <c r="G171" s="15">
        <v>7</v>
      </c>
      <c r="H171" s="17">
        <v>149.19</v>
      </c>
      <c r="I171" s="17">
        <f>G171*H171</f>
        <v>1044.33</v>
      </c>
      <c r="J171" s="15">
        <f>YEAR(B171)*100+MONTH(B171)</f>
        <v>202407</v>
      </c>
    </row>
    <row r="172" spans="1:10">
      <c r="A172" s="15">
        <v>1197</v>
      </c>
      <c r="B172" s="16" t="s">
        <v>152</v>
      </c>
      <c r="C172" s="15" t="s">
        <v>28</v>
      </c>
      <c r="D172" s="15" t="s">
        <v>26</v>
      </c>
      <c r="E172" s="15" t="s">
        <v>38</v>
      </c>
      <c r="F172" s="15" t="s">
        <v>39</v>
      </c>
      <c r="G172" s="15">
        <v>2</v>
      </c>
      <c r="H172" s="17">
        <v>395.2</v>
      </c>
      <c r="I172" s="17">
        <f>G172*H172</f>
        <v>790.4</v>
      </c>
      <c r="J172" s="15">
        <f>YEAR(B172)*100+MONTH(B172)</f>
        <v>202407</v>
      </c>
    </row>
    <row r="173" spans="1:10">
      <c r="A173" s="15">
        <v>1258</v>
      </c>
      <c r="B173" s="16" t="s">
        <v>152</v>
      </c>
      <c r="C173" s="15" t="s">
        <v>18</v>
      </c>
      <c r="D173" s="15" t="s">
        <v>19</v>
      </c>
      <c r="E173" s="15" t="s">
        <v>20</v>
      </c>
      <c r="F173" s="15" t="s">
        <v>43</v>
      </c>
      <c r="G173" s="15">
        <v>2</v>
      </c>
      <c r="H173" s="17">
        <v>36.880000000000003</v>
      </c>
      <c r="I173" s="17">
        <f>G173*H173</f>
        <v>73.760000000000005</v>
      </c>
      <c r="J173" s="15">
        <f>YEAR(B173)*100+MONTH(B173)</f>
        <v>202407</v>
      </c>
    </row>
    <row r="174" spans="1:10">
      <c r="A174" s="15">
        <v>1239</v>
      </c>
      <c r="B174" s="16" t="s">
        <v>153</v>
      </c>
      <c r="C174" s="15" t="s">
        <v>46</v>
      </c>
      <c r="D174" s="15" t="s">
        <v>19</v>
      </c>
      <c r="E174" s="15" t="s">
        <v>38</v>
      </c>
      <c r="F174" s="15" t="s">
        <v>49</v>
      </c>
      <c r="G174" s="15">
        <v>12</v>
      </c>
      <c r="H174" s="17">
        <v>424.58</v>
      </c>
      <c r="I174" s="17">
        <f>G174*H174</f>
        <v>5094.96</v>
      </c>
      <c r="J174" s="15">
        <f>YEAR(B174)*100+MONTH(B174)</f>
        <v>202407</v>
      </c>
    </row>
    <row r="175" spans="1:10">
      <c r="A175" s="15">
        <v>1147</v>
      </c>
      <c r="B175" s="16" t="s">
        <v>154</v>
      </c>
      <c r="C175" s="15" t="s">
        <v>33</v>
      </c>
      <c r="D175" s="15" t="s">
        <v>29</v>
      </c>
      <c r="E175" s="15" t="s">
        <v>24</v>
      </c>
      <c r="F175" s="15" t="s">
        <v>25</v>
      </c>
      <c r="G175" s="15">
        <v>12</v>
      </c>
      <c r="H175" s="17">
        <v>165.29</v>
      </c>
      <c r="I175" s="17">
        <f>G175*H175</f>
        <v>1983.48</v>
      </c>
      <c r="J175" s="15">
        <f>YEAR(B175)*100+MONTH(B175)</f>
        <v>202407</v>
      </c>
    </row>
    <row r="176" spans="1:10">
      <c r="A176" s="15">
        <v>1006</v>
      </c>
      <c r="B176" s="16" t="s">
        <v>155</v>
      </c>
      <c r="C176" s="15" t="s">
        <v>18</v>
      </c>
      <c r="D176" s="15" t="s">
        <v>26</v>
      </c>
      <c r="E176" s="15" t="s">
        <v>36</v>
      </c>
      <c r="F176" s="15" t="s">
        <v>37</v>
      </c>
      <c r="G176" s="15">
        <v>10</v>
      </c>
      <c r="H176" s="17">
        <v>154.53</v>
      </c>
      <c r="I176" s="17">
        <f>G176*H176</f>
        <v>1545.3</v>
      </c>
      <c r="J176" s="15">
        <f>YEAR(B176)*100+MONTH(B176)</f>
        <v>202407</v>
      </c>
    </row>
    <row r="177" spans="1:10">
      <c r="A177" s="15">
        <v>1093</v>
      </c>
      <c r="B177" s="16" t="s">
        <v>155</v>
      </c>
      <c r="C177" s="15" t="s">
        <v>42</v>
      </c>
      <c r="D177" s="15" t="s">
        <v>26</v>
      </c>
      <c r="E177" s="15" t="s">
        <v>20</v>
      </c>
      <c r="F177" s="15" t="s">
        <v>21</v>
      </c>
      <c r="G177" s="15">
        <v>2</v>
      </c>
      <c r="H177" s="17">
        <v>23.82</v>
      </c>
      <c r="I177" s="17">
        <f>G177*H177</f>
        <v>47.64</v>
      </c>
      <c r="J177" s="15">
        <f>YEAR(B177)*100+MONTH(B177)</f>
        <v>202407</v>
      </c>
    </row>
    <row r="178" spans="1:10">
      <c r="A178" s="15">
        <v>1122</v>
      </c>
      <c r="B178" s="16" t="s">
        <v>155</v>
      </c>
      <c r="C178" s="15" t="s">
        <v>42</v>
      </c>
      <c r="D178" s="15" t="s">
        <v>35</v>
      </c>
      <c r="E178" s="15" t="s">
        <v>24</v>
      </c>
      <c r="F178" s="15" t="s">
        <v>25</v>
      </c>
      <c r="G178" s="15">
        <v>10</v>
      </c>
      <c r="H178" s="17">
        <v>153.38</v>
      </c>
      <c r="I178" s="17">
        <f>G178*H178</f>
        <v>1533.8</v>
      </c>
      <c r="J178" s="15">
        <f>YEAR(B178)*100+MONTH(B178)</f>
        <v>202407</v>
      </c>
    </row>
    <row r="179" spans="1:10">
      <c r="A179" s="15">
        <v>1153</v>
      </c>
      <c r="B179" s="16" t="s">
        <v>155</v>
      </c>
      <c r="C179" s="15" t="s">
        <v>46</v>
      </c>
      <c r="D179" s="15" t="s">
        <v>26</v>
      </c>
      <c r="E179" s="15" t="s">
        <v>20</v>
      </c>
      <c r="F179" s="15" t="s">
        <v>43</v>
      </c>
      <c r="G179" s="15">
        <v>8</v>
      </c>
      <c r="H179" s="17">
        <v>40.54</v>
      </c>
      <c r="I179" s="17">
        <f>G179*H179</f>
        <v>324.32</v>
      </c>
      <c r="J179" s="15">
        <f>YEAR(B179)*100+MONTH(B179)</f>
        <v>202407</v>
      </c>
    </row>
    <row r="180" spans="1:10">
      <c r="A180" s="15">
        <v>1174</v>
      </c>
      <c r="B180" s="16" t="s">
        <v>156</v>
      </c>
      <c r="C180" s="15" t="s">
        <v>28</v>
      </c>
      <c r="D180" s="15" t="s">
        <v>29</v>
      </c>
      <c r="E180" s="15" t="s">
        <v>20</v>
      </c>
      <c r="F180" s="15" t="s">
        <v>57</v>
      </c>
      <c r="G180" s="15">
        <v>8</v>
      </c>
      <c r="H180" s="17">
        <v>15.12</v>
      </c>
      <c r="I180" s="17">
        <f>G180*H180</f>
        <v>120.96</v>
      </c>
      <c r="J180" s="15">
        <f>YEAR(B180)*100+MONTH(B180)</f>
        <v>202407</v>
      </c>
    </row>
    <row r="181" spans="1:10">
      <c r="A181" s="15">
        <v>1148</v>
      </c>
      <c r="B181" s="16" t="s">
        <v>157</v>
      </c>
      <c r="C181" s="15" t="s">
        <v>42</v>
      </c>
      <c r="D181" s="15" t="s">
        <v>23</v>
      </c>
      <c r="E181" s="15" t="s">
        <v>38</v>
      </c>
      <c r="F181" s="15" t="s">
        <v>52</v>
      </c>
      <c r="G181" s="15">
        <v>12</v>
      </c>
      <c r="H181" s="17">
        <v>647.97</v>
      </c>
      <c r="I181" s="17">
        <f>G181*H181</f>
        <v>7775.64</v>
      </c>
      <c r="J181" s="15">
        <f>YEAR(B181)*100+MONTH(B181)</f>
        <v>202407</v>
      </c>
    </row>
    <row r="182" spans="1:10">
      <c r="A182" s="15">
        <v>1272</v>
      </c>
      <c r="B182" s="16" t="s">
        <v>157</v>
      </c>
      <c r="C182" s="15" t="s">
        <v>18</v>
      </c>
      <c r="D182" s="15" t="s">
        <v>23</v>
      </c>
      <c r="E182" s="15" t="s">
        <v>36</v>
      </c>
      <c r="F182" s="15" t="s">
        <v>80</v>
      </c>
      <c r="G182" s="15">
        <v>6</v>
      </c>
      <c r="H182" s="17">
        <v>1814.9</v>
      </c>
      <c r="I182" s="17">
        <f>G182*H182</f>
        <v>10889.400000000001</v>
      </c>
      <c r="J182" s="15">
        <f>YEAR(B182)*100+MONTH(B182)</f>
        <v>202407</v>
      </c>
    </row>
    <row r="183" spans="1:10">
      <c r="A183" s="15">
        <v>1149</v>
      </c>
      <c r="B183" s="16" t="s">
        <v>158</v>
      </c>
      <c r="C183" s="15" t="s">
        <v>46</v>
      </c>
      <c r="D183" s="15" t="s">
        <v>29</v>
      </c>
      <c r="E183" s="15" t="s">
        <v>38</v>
      </c>
      <c r="F183" s="15" t="s">
        <v>52</v>
      </c>
      <c r="G183" s="15">
        <v>3</v>
      </c>
      <c r="H183" s="17">
        <v>731.8</v>
      </c>
      <c r="I183" s="17">
        <f>G183*H183</f>
        <v>2195.3999999999996</v>
      </c>
      <c r="J183" s="15">
        <f>YEAR(B183)*100+MONTH(B183)</f>
        <v>202407</v>
      </c>
    </row>
    <row r="184" spans="1:10">
      <c r="A184" s="15">
        <v>1265</v>
      </c>
      <c r="B184" s="16" t="s">
        <v>158</v>
      </c>
      <c r="C184" s="15" t="s">
        <v>18</v>
      </c>
      <c r="D184" s="15" t="s">
        <v>29</v>
      </c>
      <c r="E184" s="15" t="s">
        <v>20</v>
      </c>
      <c r="F184" s="15" t="s">
        <v>57</v>
      </c>
      <c r="G184" s="15">
        <v>8</v>
      </c>
      <c r="H184" s="17">
        <v>14.77</v>
      </c>
      <c r="I184" s="17">
        <f>G184*H184</f>
        <v>118.16</v>
      </c>
      <c r="J184" s="15">
        <f>YEAR(B184)*100+MONTH(B184)</f>
        <v>202407</v>
      </c>
    </row>
    <row r="185" spans="1:10">
      <c r="A185" s="15">
        <v>1089</v>
      </c>
      <c r="B185" s="16" t="s">
        <v>159</v>
      </c>
      <c r="C185" s="15" t="s">
        <v>32</v>
      </c>
      <c r="D185" s="15" t="s">
        <v>19</v>
      </c>
      <c r="E185" s="15" t="s">
        <v>20</v>
      </c>
      <c r="F185" s="15" t="s">
        <v>43</v>
      </c>
      <c r="G185" s="15">
        <v>7</v>
      </c>
      <c r="H185" s="17">
        <v>40.33</v>
      </c>
      <c r="I185" s="17">
        <f>G185*H185</f>
        <v>282.31</v>
      </c>
      <c r="J185" s="15">
        <f>YEAR(B185)*100+MONTH(B185)</f>
        <v>202407</v>
      </c>
    </row>
    <row r="186" spans="1:10">
      <c r="A186" s="15">
        <v>1300</v>
      </c>
      <c r="B186" s="16" t="s">
        <v>160</v>
      </c>
      <c r="C186" s="15" t="s">
        <v>28</v>
      </c>
      <c r="D186" s="15" t="s">
        <v>26</v>
      </c>
      <c r="E186" s="15" t="s">
        <v>24</v>
      </c>
      <c r="F186" s="15" t="s">
        <v>45</v>
      </c>
      <c r="G186" s="15">
        <v>6</v>
      </c>
      <c r="H186" s="17">
        <v>208.55</v>
      </c>
      <c r="I186" s="17">
        <f>G186*H186</f>
        <v>1251.3000000000002</v>
      </c>
      <c r="J186" s="15">
        <f>YEAR(B186)*100+MONTH(B186)</f>
        <v>202407</v>
      </c>
    </row>
    <row r="187" spans="1:10">
      <c r="A187" s="15">
        <v>1046</v>
      </c>
      <c r="B187" s="16" t="s">
        <v>161</v>
      </c>
      <c r="C187" s="15" t="s">
        <v>18</v>
      </c>
      <c r="D187" s="15" t="s">
        <v>26</v>
      </c>
      <c r="E187" s="15" t="s">
        <v>38</v>
      </c>
      <c r="F187" s="15" t="s">
        <v>39</v>
      </c>
      <c r="G187" s="15">
        <v>8</v>
      </c>
      <c r="H187" s="17">
        <v>381.49</v>
      </c>
      <c r="I187" s="17">
        <f>G187*H187</f>
        <v>3051.92</v>
      </c>
      <c r="J187" s="15">
        <f>YEAR(B187)*100+MONTH(B187)</f>
        <v>202407</v>
      </c>
    </row>
    <row r="188" spans="1:10">
      <c r="A188" s="15">
        <v>1099</v>
      </c>
      <c r="B188" s="16" t="s">
        <v>162</v>
      </c>
      <c r="C188" s="15" t="s">
        <v>33</v>
      </c>
      <c r="D188" s="15" t="s">
        <v>26</v>
      </c>
      <c r="E188" s="15" t="s">
        <v>38</v>
      </c>
      <c r="F188" s="15" t="s">
        <v>49</v>
      </c>
      <c r="G188" s="15">
        <v>11</v>
      </c>
      <c r="H188" s="17">
        <v>448.64</v>
      </c>
      <c r="I188" s="17">
        <f>G188*H188</f>
        <v>4935.04</v>
      </c>
      <c r="J188" s="15">
        <f>YEAR(B188)*100+MONTH(B188)</f>
        <v>202407</v>
      </c>
    </row>
    <row r="189" spans="1:10">
      <c r="A189" s="15">
        <v>1182</v>
      </c>
      <c r="B189" s="16" t="s">
        <v>162</v>
      </c>
      <c r="C189" s="15" t="s">
        <v>28</v>
      </c>
      <c r="D189" s="15" t="s">
        <v>19</v>
      </c>
      <c r="E189" s="15" t="s">
        <v>20</v>
      </c>
      <c r="F189" s="15" t="s">
        <v>57</v>
      </c>
      <c r="G189" s="15">
        <v>8</v>
      </c>
      <c r="H189" s="17">
        <v>15.69</v>
      </c>
      <c r="I189" s="17">
        <f>G189*H189</f>
        <v>125.52</v>
      </c>
      <c r="J189" s="15">
        <f>YEAR(B189)*100+MONTH(B189)</f>
        <v>202407</v>
      </c>
    </row>
    <row r="190" spans="1:10">
      <c r="A190" s="15">
        <v>1196</v>
      </c>
      <c r="B190" s="16" t="s">
        <v>163</v>
      </c>
      <c r="C190" s="15" t="s">
        <v>18</v>
      </c>
      <c r="D190" s="15" t="s">
        <v>35</v>
      </c>
      <c r="E190" s="15" t="s">
        <v>24</v>
      </c>
      <c r="F190" s="15" t="s">
        <v>30</v>
      </c>
      <c r="G190" s="15">
        <v>7</v>
      </c>
      <c r="H190" s="17">
        <v>177.15</v>
      </c>
      <c r="I190" s="17">
        <f>G190*H190</f>
        <v>1240.05</v>
      </c>
      <c r="J190" s="15">
        <f>YEAR(B190)*100+MONTH(B190)</f>
        <v>202407</v>
      </c>
    </row>
    <row r="191" spans="1:10">
      <c r="A191" s="15">
        <v>1070</v>
      </c>
      <c r="B191" s="16" t="s">
        <v>164</v>
      </c>
      <c r="C191" s="15" t="s">
        <v>32</v>
      </c>
      <c r="D191" s="15" t="s">
        <v>23</v>
      </c>
      <c r="E191" s="15" t="s">
        <v>20</v>
      </c>
      <c r="F191" s="15" t="s">
        <v>43</v>
      </c>
      <c r="G191" s="15">
        <v>7</v>
      </c>
      <c r="H191" s="17">
        <v>37.46</v>
      </c>
      <c r="I191" s="17">
        <f>G191*H191</f>
        <v>262.22000000000003</v>
      </c>
      <c r="J191" s="15">
        <f>YEAR(B191)*100+MONTH(B191)</f>
        <v>202407</v>
      </c>
    </row>
    <row r="192" spans="1:10">
      <c r="A192" s="15">
        <v>1137</v>
      </c>
      <c r="B192" s="16" t="s">
        <v>164</v>
      </c>
      <c r="C192" s="15" t="s">
        <v>46</v>
      </c>
      <c r="D192" s="15" t="s">
        <v>35</v>
      </c>
      <c r="E192" s="15" t="s">
        <v>36</v>
      </c>
      <c r="F192" s="15" t="s">
        <v>75</v>
      </c>
      <c r="G192" s="15">
        <v>4</v>
      </c>
      <c r="H192" s="17">
        <v>584.23</v>
      </c>
      <c r="I192" s="17">
        <f>G192*H192</f>
        <v>2336.92</v>
      </c>
      <c r="J192" s="15">
        <f>YEAR(B192)*100+MONTH(B192)</f>
        <v>202407</v>
      </c>
    </row>
    <row r="193" spans="1:10">
      <c r="A193" s="15">
        <v>1303</v>
      </c>
      <c r="B193" s="16" t="s">
        <v>164</v>
      </c>
      <c r="C193" s="15" t="s">
        <v>46</v>
      </c>
      <c r="D193" s="15" t="s">
        <v>19</v>
      </c>
      <c r="E193" s="15" t="s">
        <v>20</v>
      </c>
      <c r="F193" s="15" t="s">
        <v>57</v>
      </c>
      <c r="G193" s="15">
        <v>10</v>
      </c>
      <c r="H193" s="17">
        <v>14.58</v>
      </c>
      <c r="I193" s="17">
        <f>G193*H193</f>
        <v>145.80000000000001</v>
      </c>
      <c r="J193" s="15">
        <f>YEAR(B193)*100+MONTH(B193)</f>
        <v>202407</v>
      </c>
    </row>
    <row r="194" spans="1:10">
      <c r="A194" s="15">
        <v>1141</v>
      </c>
      <c r="B194" s="16" t="s">
        <v>165</v>
      </c>
      <c r="C194" s="15" t="s">
        <v>42</v>
      </c>
      <c r="D194" s="15" t="s">
        <v>26</v>
      </c>
      <c r="E194" s="15" t="s">
        <v>36</v>
      </c>
      <c r="F194" s="15" t="s">
        <v>80</v>
      </c>
      <c r="G194" s="15">
        <v>2</v>
      </c>
      <c r="H194" s="17">
        <v>1888.19</v>
      </c>
      <c r="I194" s="17">
        <f>G194*H194</f>
        <v>3776.38</v>
      </c>
      <c r="J194" s="15">
        <f>YEAR(B194)*100+MONTH(B194)</f>
        <v>202407</v>
      </c>
    </row>
    <row r="195" spans="1:10">
      <c r="A195" s="15">
        <v>1151</v>
      </c>
      <c r="B195" s="16" t="s">
        <v>166</v>
      </c>
      <c r="C195" s="15" t="s">
        <v>18</v>
      </c>
      <c r="D195" s="15" t="s">
        <v>29</v>
      </c>
      <c r="E195" s="15" t="s">
        <v>38</v>
      </c>
      <c r="F195" s="15" t="s">
        <v>49</v>
      </c>
      <c r="G195" s="15">
        <v>5</v>
      </c>
      <c r="H195" s="17">
        <v>441.47</v>
      </c>
      <c r="I195" s="17">
        <f>G195*H195</f>
        <v>2207.3500000000004</v>
      </c>
      <c r="J195" s="15">
        <f>YEAR(B195)*100+MONTH(B195)</f>
        <v>202407</v>
      </c>
    </row>
    <row r="196" spans="1:10">
      <c r="A196" s="15">
        <v>1316</v>
      </c>
      <c r="B196" s="16" t="s">
        <v>167</v>
      </c>
      <c r="C196" s="15" t="s">
        <v>33</v>
      </c>
      <c r="D196" s="15" t="s">
        <v>29</v>
      </c>
      <c r="E196" s="15" t="s">
        <v>24</v>
      </c>
      <c r="F196" s="15" t="s">
        <v>30</v>
      </c>
      <c r="G196" s="15">
        <v>12</v>
      </c>
      <c r="H196" s="17">
        <v>192.77</v>
      </c>
      <c r="I196" s="17">
        <f>G196*H196</f>
        <v>2313.2400000000002</v>
      </c>
      <c r="J196" s="15">
        <f>YEAR(B196)*100+MONTH(B196)</f>
        <v>202407</v>
      </c>
    </row>
    <row r="197" spans="1:10">
      <c r="A197" s="15">
        <v>1143</v>
      </c>
      <c r="B197" s="16" t="s">
        <v>168</v>
      </c>
      <c r="C197" s="15" t="s">
        <v>33</v>
      </c>
      <c r="D197" s="15" t="s">
        <v>23</v>
      </c>
      <c r="E197" s="15" t="s">
        <v>24</v>
      </c>
      <c r="F197" s="15" t="s">
        <v>25</v>
      </c>
      <c r="G197" s="15">
        <v>9</v>
      </c>
      <c r="H197" s="17">
        <v>152.27000000000001</v>
      </c>
      <c r="I197" s="17">
        <f>G197*H197</f>
        <v>1370.43</v>
      </c>
      <c r="J197" s="15">
        <f>YEAR(B197)*100+MONTH(B197)</f>
        <v>202407</v>
      </c>
    </row>
    <row r="198" spans="1:10">
      <c r="A198" s="15">
        <v>1088</v>
      </c>
      <c r="B198" s="16" t="s">
        <v>169</v>
      </c>
      <c r="C198" s="15" t="s">
        <v>42</v>
      </c>
      <c r="D198" s="15" t="s">
        <v>26</v>
      </c>
      <c r="E198" s="15" t="s">
        <v>38</v>
      </c>
      <c r="F198" s="15" t="s">
        <v>52</v>
      </c>
      <c r="G198" s="15">
        <v>7</v>
      </c>
      <c r="H198" s="17">
        <v>663.97</v>
      </c>
      <c r="I198" s="17">
        <f>G198*H198</f>
        <v>4647.79</v>
      </c>
      <c r="J198" s="15">
        <f>YEAR(B198)*100+MONTH(B198)</f>
        <v>202408</v>
      </c>
    </row>
    <row r="199" spans="1:10">
      <c r="A199" s="15">
        <v>1191</v>
      </c>
      <c r="B199" s="16" t="s">
        <v>170</v>
      </c>
      <c r="C199" s="15" t="s">
        <v>28</v>
      </c>
      <c r="D199" s="15" t="s">
        <v>26</v>
      </c>
      <c r="E199" s="15" t="s">
        <v>36</v>
      </c>
      <c r="F199" s="15" t="s">
        <v>75</v>
      </c>
      <c r="G199" s="15">
        <v>8</v>
      </c>
      <c r="H199" s="17">
        <v>607.57000000000005</v>
      </c>
      <c r="I199" s="17">
        <f>G199*H199</f>
        <v>4860.5600000000004</v>
      </c>
      <c r="J199" s="15">
        <f>YEAR(B199)*100+MONTH(B199)</f>
        <v>202408</v>
      </c>
    </row>
    <row r="200" spans="1:10">
      <c r="A200" s="15">
        <v>1016</v>
      </c>
      <c r="B200" s="16" t="s">
        <v>171</v>
      </c>
      <c r="C200" s="15" t="s">
        <v>46</v>
      </c>
      <c r="D200" s="15" t="s">
        <v>23</v>
      </c>
      <c r="E200" s="15" t="s">
        <v>24</v>
      </c>
      <c r="F200" s="15" t="s">
        <v>25</v>
      </c>
      <c r="G200" s="15">
        <v>3</v>
      </c>
      <c r="H200" s="17">
        <v>151.76</v>
      </c>
      <c r="I200" s="17">
        <f>G200*H200</f>
        <v>455.28</v>
      </c>
      <c r="J200" s="15">
        <f>YEAR(B200)*100+MONTH(B200)</f>
        <v>202408</v>
      </c>
    </row>
    <row r="201" spans="1:10">
      <c r="A201" s="15">
        <v>1155</v>
      </c>
      <c r="B201" s="16" t="s">
        <v>172</v>
      </c>
      <c r="C201" s="15" t="s">
        <v>18</v>
      </c>
      <c r="D201" s="15" t="s">
        <v>26</v>
      </c>
      <c r="E201" s="15" t="s">
        <v>36</v>
      </c>
      <c r="F201" s="15" t="s">
        <v>54</v>
      </c>
      <c r="G201" s="15">
        <v>12</v>
      </c>
      <c r="H201" s="17">
        <v>3128.57</v>
      </c>
      <c r="I201" s="17">
        <f>G201*H201</f>
        <v>37542.840000000004</v>
      </c>
      <c r="J201" s="15">
        <f>YEAR(B201)*100+MONTH(B201)</f>
        <v>202408</v>
      </c>
    </row>
    <row r="202" spans="1:10">
      <c r="A202" s="15">
        <v>1240</v>
      </c>
      <c r="B202" s="16" t="s">
        <v>173</v>
      </c>
      <c r="C202" s="15" t="s">
        <v>33</v>
      </c>
      <c r="D202" s="15" t="s">
        <v>23</v>
      </c>
      <c r="E202" s="15" t="s">
        <v>36</v>
      </c>
      <c r="F202" s="15" t="s">
        <v>75</v>
      </c>
      <c r="G202" s="15">
        <v>12</v>
      </c>
      <c r="H202" s="17">
        <v>580.41999999999996</v>
      </c>
      <c r="I202" s="17">
        <f>G202*H202</f>
        <v>6965.0399999999991</v>
      </c>
      <c r="J202" s="15">
        <f>YEAR(B202)*100+MONTH(B202)</f>
        <v>202408</v>
      </c>
    </row>
    <row r="203" spans="1:10">
      <c r="A203" s="15">
        <v>1224</v>
      </c>
      <c r="B203" s="16" t="s">
        <v>174</v>
      </c>
      <c r="C203" s="15" t="s">
        <v>46</v>
      </c>
      <c r="D203" s="15" t="s">
        <v>26</v>
      </c>
      <c r="E203" s="15" t="s">
        <v>20</v>
      </c>
      <c r="F203" s="15" t="s">
        <v>21</v>
      </c>
      <c r="G203" s="15">
        <v>6</v>
      </c>
      <c r="H203" s="17">
        <v>24.92</v>
      </c>
      <c r="I203" s="17">
        <f>G203*H203</f>
        <v>149.52000000000001</v>
      </c>
      <c r="J203" s="15">
        <f>YEAR(B203)*100+MONTH(B203)</f>
        <v>202408</v>
      </c>
    </row>
    <row r="204" spans="1:10">
      <c r="A204" s="15">
        <v>1268</v>
      </c>
      <c r="B204" s="16" t="s">
        <v>175</v>
      </c>
      <c r="C204" s="15" t="s">
        <v>42</v>
      </c>
      <c r="D204" s="15" t="s">
        <v>26</v>
      </c>
      <c r="E204" s="15" t="s">
        <v>24</v>
      </c>
      <c r="F204" s="15" t="s">
        <v>45</v>
      </c>
      <c r="G204" s="15">
        <v>6</v>
      </c>
      <c r="H204" s="17">
        <v>222.13</v>
      </c>
      <c r="I204" s="17">
        <f>G204*H204</f>
        <v>1332.78</v>
      </c>
      <c r="J204" s="15">
        <f>YEAR(B204)*100+MONTH(B204)</f>
        <v>202408</v>
      </c>
    </row>
    <row r="205" spans="1:10">
      <c r="A205" s="15">
        <v>1227</v>
      </c>
      <c r="B205" s="16" t="s">
        <v>176</v>
      </c>
      <c r="C205" s="15" t="s">
        <v>33</v>
      </c>
      <c r="D205" s="15" t="s">
        <v>26</v>
      </c>
      <c r="E205" s="15" t="s">
        <v>38</v>
      </c>
      <c r="F205" s="15" t="s">
        <v>52</v>
      </c>
      <c r="G205" s="15">
        <v>9</v>
      </c>
      <c r="H205" s="17">
        <v>699.06</v>
      </c>
      <c r="I205" s="17">
        <f>G205*H205</f>
        <v>6291.5399999999991</v>
      </c>
      <c r="J205" s="15">
        <f>YEAR(B205)*100+MONTH(B205)</f>
        <v>202408</v>
      </c>
    </row>
    <row r="206" spans="1:10">
      <c r="A206" s="15">
        <v>1228</v>
      </c>
      <c r="B206" s="16" t="s">
        <v>176</v>
      </c>
      <c r="C206" s="15" t="s">
        <v>46</v>
      </c>
      <c r="D206" s="15" t="s">
        <v>19</v>
      </c>
      <c r="E206" s="15" t="s">
        <v>36</v>
      </c>
      <c r="F206" s="15" t="s">
        <v>37</v>
      </c>
      <c r="G206" s="15">
        <v>2</v>
      </c>
      <c r="H206" s="17">
        <v>157.16</v>
      </c>
      <c r="I206" s="17">
        <f>G206*H206</f>
        <v>314.32</v>
      </c>
      <c r="J206" s="15">
        <f>YEAR(B206)*100+MONTH(B206)</f>
        <v>202408</v>
      </c>
    </row>
    <row r="207" spans="1:10">
      <c r="A207" s="15">
        <v>1178</v>
      </c>
      <c r="B207" s="16" t="s">
        <v>177</v>
      </c>
      <c r="C207" s="15" t="s">
        <v>46</v>
      </c>
      <c r="D207" s="15" t="s">
        <v>23</v>
      </c>
      <c r="E207" s="15" t="s">
        <v>20</v>
      </c>
      <c r="F207" s="15" t="s">
        <v>43</v>
      </c>
      <c r="G207" s="15">
        <v>12</v>
      </c>
      <c r="H207" s="17">
        <v>41.74</v>
      </c>
      <c r="I207" s="17">
        <f>G207*H207</f>
        <v>500.88</v>
      </c>
      <c r="J207" s="15">
        <f>YEAR(B207)*100+MONTH(B207)</f>
        <v>202408</v>
      </c>
    </row>
    <row r="208" spans="1:10">
      <c r="A208" s="15">
        <v>1308</v>
      </c>
      <c r="B208" s="16" t="s">
        <v>178</v>
      </c>
      <c r="C208" s="15" t="s">
        <v>18</v>
      </c>
      <c r="D208" s="15" t="s">
        <v>29</v>
      </c>
      <c r="E208" s="15" t="s">
        <v>38</v>
      </c>
      <c r="F208" s="15" t="s">
        <v>39</v>
      </c>
      <c r="G208" s="15">
        <v>3</v>
      </c>
      <c r="H208" s="17">
        <v>393.72</v>
      </c>
      <c r="I208" s="17">
        <f>G208*H208</f>
        <v>1181.1600000000001</v>
      </c>
      <c r="J208" s="15">
        <f>YEAR(B208)*100+MONTH(B208)</f>
        <v>202408</v>
      </c>
    </row>
    <row r="209" spans="1:10">
      <c r="A209" s="15">
        <v>1007</v>
      </c>
      <c r="B209" s="16" t="s">
        <v>179</v>
      </c>
      <c r="C209" s="15" t="s">
        <v>32</v>
      </c>
      <c r="D209" s="15" t="s">
        <v>29</v>
      </c>
      <c r="E209" s="15" t="s">
        <v>36</v>
      </c>
      <c r="F209" s="15" t="s">
        <v>75</v>
      </c>
      <c r="G209" s="15">
        <v>5</v>
      </c>
      <c r="H209" s="17">
        <v>558.15</v>
      </c>
      <c r="I209" s="17">
        <f>G209*H209</f>
        <v>2790.75</v>
      </c>
      <c r="J209" s="15">
        <f>YEAR(B209)*100+MONTH(B209)</f>
        <v>202408</v>
      </c>
    </row>
    <row r="210" spans="1:10">
      <c r="A210" s="15">
        <v>1061</v>
      </c>
      <c r="B210" s="16" t="s">
        <v>179</v>
      </c>
      <c r="C210" s="15" t="s">
        <v>33</v>
      </c>
      <c r="D210" s="15" t="s">
        <v>26</v>
      </c>
      <c r="E210" s="15" t="s">
        <v>20</v>
      </c>
      <c r="F210" s="15" t="s">
        <v>21</v>
      </c>
      <c r="G210" s="15">
        <v>4</v>
      </c>
      <c r="H210" s="17">
        <v>25.67</v>
      </c>
      <c r="I210" s="17">
        <f>G210*H210</f>
        <v>102.68</v>
      </c>
      <c r="J210" s="15">
        <f>YEAR(B210)*100+MONTH(B210)</f>
        <v>202408</v>
      </c>
    </row>
    <row r="211" spans="1:10">
      <c r="A211" s="15">
        <v>1318</v>
      </c>
      <c r="B211" s="16" t="s">
        <v>179</v>
      </c>
      <c r="C211" s="15" t="s">
        <v>32</v>
      </c>
      <c r="D211" s="15" t="s">
        <v>35</v>
      </c>
      <c r="E211" s="15" t="s">
        <v>20</v>
      </c>
      <c r="F211" s="15" t="s">
        <v>43</v>
      </c>
      <c r="G211" s="15">
        <v>12</v>
      </c>
      <c r="H211" s="17">
        <v>38.64</v>
      </c>
      <c r="I211" s="17">
        <f>G211*H211</f>
        <v>463.68</v>
      </c>
      <c r="J211" s="15">
        <f>YEAR(B211)*100+MONTH(B211)</f>
        <v>202408</v>
      </c>
    </row>
    <row r="212" spans="1:10">
      <c r="A212" s="15">
        <v>1036</v>
      </c>
      <c r="B212" s="16" t="s">
        <v>180</v>
      </c>
      <c r="C212" s="15" t="s">
        <v>28</v>
      </c>
      <c r="D212" s="15" t="s">
        <v>26</v>
      </c>
      <c r="E212" s="15" t="s">
        <v>38</v>
      </c>
      <c r="F212" s="15" t="s">
        <v>49</v>
      </c>
      <c r="G212" s="15">
        <v>9</v>
      </c>
      <c r="H212" s="17">
        <v>439.92</v>
      </c>
      <c r="I212" s="17">
        <f>G212*H212</f>
        <v>3959.28</v>
      </c>
      <c r="J212" s="15">
        <f>YEAR(B212)*100+MONTH(B212)</f>
        <v>202408</v>
      </c>
    </row>
    <row r="213" spans="1:10">
      <c r="A213" s="15">
        <v>1079</v>
      </c>
      <c r="B213" s="16" t="s">
        <v>181</v>
      </c>
      <c r="C213" s="15" t="s">
        <v>42</v>
      </c>
      <c r="D213" s="15" t="s">
        <v>19</v>
      </c>
      <c r="E213" s="15" t="s">
        <v>36</v>
      </c>
      <c r="F213" s="15" t="s">
        <v>80</v>
      </c>
      <c r="G213" s="15">
        <v>2</v>
      </c>
      <c r="H213" s="17">
        <v>1870.69</v>
      </c>
      <c r="I213" s="17">
        <f>G213*H213</f>
        <v>3741.38</v>
      </c>
      <c r="J213" s="15">
        <f>YEAR(B213)*100+MONTH(B213)</f>
        <v>202408</v>
      </c>
    </row>
    <row r="214" spans="1:10">
      <c r="A214" s="15">
        <v>1080</v>
      </c>
      <c r="B214" s="16" t="s">
        <v>181</v>
      </c>
      <c r="C214" s="15" t="s">
        <v>46</v>
      </c>
      <c r="D214" s="15" t="s">
        <v>23</v>
      </c>
      <c r="E214" s="15" t="s">
        <v>20</v>
      </c>
      <c r="F214" s="15" t="s">
        <v>21</v>
      </c>
      <c r="G214" s="15">
        <v>12</v>
      </c>
      <c r="H214" s="17">
        <v>24.99</v>
      </c>
      <c r="I214" s="17">
        <f>G214*H214</f>
        <v>299.88</v>
      </c>
      <c r="J214" s="15">
        <f>YEAR(B214)*100+MONTH(B214)</f>
        <v>202408</v>
      </c>
    </row>
    <row r="215" spans="1:10">
      <c r="A215" s="15">
        <v>1073</v>
      </c>
      <c r="B215" s="16" t="s">
        <v>182</v>
      </c>
      <c r="C215" s="15" t="s">
        <v>42</v>
      </c>
      <c r="D215" s="15" t="s">
        <v>19</v>
      </c>
      <c r="E215" s="15" t="s">
        <v>24</v>
      </c>
      <c r="F215" s="15" t="s">
        <v>25</v>
      </c>
      <c r="G215" s="15">
        <v>9</v>
      </c>
      <c r="H215" s="17">
        <v>161.25</v>
      </c>
      <c r="I215" s="17">
        <f>G215*H215</f>
        <v>1451.25</v>
      </c>
      <c r="J215" s="15">
        <f>YEAR(B215)*100+MONTH(B215)</f>
        <v>202408</v>
      </c>
    </row>
    <row r="216" spans="1:10">
      <c r="A216" s="15">
        <v>1160</v>
      </c>
      <c r="B216" s="16" t="s">
        <v>182</v>
      </c>
      <c r="C216" s="15" t="s">
        <v>42</v>
      </c>
      <c r="D216" s="15" t="s">
        <v>35</v>
      </c>
      <c r="E216" s="15" t="s">
        <v>20</v>
      </c>
      <c r="F216" s="15" t="s">
        <v>43</v>
      </c>
      <c r="G216" s="15">
        <v>2</v>
      </c>
      <c r="H216" s="17">
        <v>39.64</v>
      </c>
      <c r="I216" s="17">
        <f>G216*H216</f>
        <v>79.28</v>
      </c>
      <c r="J216" s="15">
        <f>YEAR(B216)*100+MONTH(B216)</f>
        <v>202408</v>
      </c>
    </row>
    <row r="217" spans="1:10">
      <c r="A217" s="15">
        <v>1090</v>
      </c>
      <c r="B217" s="16" t="s">
        <v>183</v>
      </c>
      <c r="C217" s="15" t="s">
        <v>46</v>
      </c>
      <c r="D217" s="15" t="s">
        <v>29</v>
      </c>
      <c r="E217" s="15" t="s">
        <v>38</v>
      </c>
      <c r="F217" s="15" t="s">
        <v>39</v>
      </c>
      <c r="G217" s="15">
        <v>7</v>
      </c>
      <c r="H217" s="17">
        <v>375.99</v>
      </c>
      <c r="I217" s="17">
        <f>G217*H217</f>
        <v>2631.9300000000003</v>
      </c>
      <c r="J217" s="15">
        <f>YEAR(B217)*100+MONTH(B217)</f>
        <v>202408</v>
      </c>
    </row>
    <row r="218" spans="1:10">
      <c r="A218" s="15">
        <v>1032</v>
      </c>
      <c r="B218" s="16" t="s">
        <v>184</v>
      </c>
      <c r="C218" s="15" t="s">
        <v>28</v>
      </c>
      <c r="D218" s="15" t="s">
        <v>26</v>
      </c>
      <c r="E218" s="15" t="s">
        <v>38</v>
      </c>
      <c r="F218" s="15" t="s">
        <v>52</v>
      </c>
      <c r="G218" s="15">
        <v>4</v>
      </c>
      <c r="H218" s="17">
        <v>717.48</v>
      </c>
      <c r="I218" s="17">
        <f>G218*H218</f>
        <v>2869.92</v>
      </c>
      <c r="J218" s="15">
        <f>YEAR(B218)*100+MONTH(B218)</f>
        <v>202408</v>
      </c>
    </row>
    <row r="219" spans="1:10">
      <c r="A219" s="15">
        <v>1294</v>
      </c>
      <c r="B219" s="16" t="s">
        <v>185</v>
      </c>
      <c r="C219" s="15" t="s">
        <v>18</v>
      </c>
      <c r="D219" s="15" t="s">
        <v>35</v>
      </c>
      <c r="E219" s="15" t="s">
        <v>24</v>
      </c>
      <c r="F219" s="15" t="s">
        <v>45</v>
      </c>
      <c r="G219" s="15">
        <v>3</v>
      </c>
      <c r="H219" s="17">
        <v>212.13</v>
      </c>
      <c r="I219" s="17">
        <f>G219*H219</f>
        <v>636.39</v>
      </c>
      <c r="J219" s="15">
        <f>YEAR(B219)*100+MONTH(B219)</f>
        <v>202409</v>
      </c>
    </row>
    <row r="220" spans="1:10">
      <c r="A220" s="15">
        <v>1038</v>
      </c>
      <c r="B220" s="16" t="s">
        <v>186</v>
      </c>
      <c r="C220" s="15" t="s">
        <v>33</v>
      </c>
      <c r="D220" s="15" t="s">
        <v>23</v>
      </c>
      <c r="E220" s="15" t="s">
        <v>24</v>
      </c>
      <c r="F220" s="15" t="s">
        <v>45</v>
      </c>
      <c r="G220" s="15">
        <v>1</v>
      </c>
      <c r="H220" s="17">
        <v>227.13</v>
      </c>
      <c r="I220" s="17">
        <f>G220*H220</f>
        <v>227.13</v>
      </c>
      <c r="J220" s="15">
        <f>YEAR(B220)*100+MONTH(B220)</f>
        <v>202409</v>
      </c>
    </row>
    <row r="221" spans="1:10">
      <c r="A221" s="15">
        <v>1021</v>
      </c>
      <c r="B221" s="16" t="s">
        <v>187</v>
      </c>
      <c r="C221" s="15" t="s">
        <v>18</v>
      </c>
      <c r="D221" s="15" t="s">
        <v>29</v>
      </c>
      <c r="E221" s="15" t="s">
        <v>38</v>
      </c>
      <c r="F221" s="15" t="s">
        <v>39</v>
      </c>
      <c r="G221" s="15">
        <v>11</v>
      </c>
      <c r="H221" s="17">
        <v>394.68</v>
      </c>
      <c r="I221" s="17">
        <f>G221*H221</f>
        <v>4341.4800000000005</v>
      </c>
      <c r="J221" s="15">
        <f>YEAR(B221)*100+MONTH(B221)</f>
        <v>202409</v>
      </c>
    </row>
    <row r="222" spans="1:10">
      <c r="A222" s="15">
        <v>1003</v>
      </c>
      <c r="B222" s="16" t="s">
        <v>188</v>
      </c>
      <c r="C222" s="15" t="s">
        <v>46</v>
      </c>
      <c r="D222" s="15" t="s">
        <v>23</v>
      </c>
      <c r="E222" s="15" t="s">
        <v>36</v>
      </c>
      <c r="F222" s="15" t="s">
        <v>80</v>
      </c>
      <c r="G222" s="15">
        <v>12</v>
      </c>
      <c r="H222" s="17">
        <v>1823.55</v>
      </c>
      <c r="I222" s="17">
        <f>G222*H222</f>
        <v>21882.6</v>
      </c>
      <c r="J222" s="15">
        <f>YEAR(B222)*100+MONTH(B222)</f>
        <v>202409</v>
      </c>
    </row>
    <row r="223" spans="1:10">
      <c r="A223" s="15">
        <v>1194</v>
      </c>
      <c r="B223" s="16" t="s">
        <v>188</v>
      </c>
      <c r="C223" s="15" t="s">
        <v>32</v>
      </c>
      <c r="D223" s="15" t="s">
        <v>29</v>
      </c>
      <c r="E223" s="15" t="s">
        <v>24</v>
      </c>
      <c r="F223" s="15" t="s">
        <v>45</v>
      </c>
      <c r="G223" s="15">
        <v>2</v>
      </c>
      <c r="H223" s="17">
        <v>225.08</v>
      </c>
      <c r="I223" s="17">
        <f>G223*H223</f>
        <v>450.16</v>
      </c>
      <c r="J223" s="15">
        <f>YEAR(B223)*100+MONTH(B223)</f>
        <v>202409</v>
      </c>
    </row>
    <row r="224" spans="1:10">
      <c r="A224" s="15">
        <v>1066</v>
      </c>
      <c r="B224" s="16" t="s">
        <v>189</v>
      </c>
      <c r="C224" s="15" t="s">
        <v>18</v>
      </c>
      <c r="D224" s="15" t="s">
        <v>26</v>
      </c>
      <c r="E224" s="15" t="s">
        <v>36</v>
      </c>
      <c r="F224" s="15" t="s">
        <v>75</v>
      </c>
      <c r="G224" s="15">
        <v>4</v>
      </c>
      <c r="H224" s="17">
        <v>622.16</v>
      </c>
      <c r="I224" s="17">
        <f>G224*H224</f>
        <v>2488.64</v>
      </c>
      <c r="J224" s="15">
        <f>YEAR(B224)*100+MONTH(B224)</f>
        <v>202409</v>
      </c>
    </row>
    <row r="225" spans="1:10">
      <c r="A225" s="15">
        <v>1220</v>
      </c>
      <c r="B225" s="16" t="s">
        <v>189</v>
      </c>
      <c r="C225" s="15" t="s">
        <v>33</v>
      </c>
      <c r="D225" s="15" t="s">
        <v>19</v>
      </c>
      <c r="E225" s="15" t="s">
        <v>38</v>
      </c>
      <c r="F225" s="15" t="s">
        <v>52</v>
      </c>
      <c r="G225" s="15">
        <v>11</v>
      </c>
      <c r="H225" s="17">
        <v>675.95</v>
      </c>
      <c r="I225" s="17">
        <f>G225*H225</f>
        <v>7435.4500000000007</v>
      </c>
      <c r="J225" s="15">
        <f>YEAR(B225)*100+MONTH(B225)</f>
        <v>202409</v>
      </c>
    </row>
    <row r="226" spans="1:10">
      <c r="A226" s="15">
        <v>1246</v>
      </c>
      <c r="B226" s="16" t="s">
        <v>190</v>
      </c>
      <c r="C226" s="15" t="s">
        <v>42</v>
      </c>
      <c r="D226" s="15" t="s">
        <v>35</v>
      </c>
      <c r="E226" s="15" t="s">
        <v>38</v>
      </c>
      <c r="F226" s="15" t="s">
        <v>52</v>
      </c>
      <c r="G226" s="15">
        <v>4</v>
      </c>
      <c r="H226" s="17">
        <v>652.35</v>
      </c>
      <c r="I226" s="17">
        <f>G226*H226</f>
        <v>2609.4</v>
      </c>
      <c r="J226" s="15">
        <f>YEAR(B226)*100+MONTH(B226)</f>
        <v>202409</v>
      </c>
    </row>
    <row r="227" spans="1:10">
      <c r="A227" s="15">
        <v>1299</v>
      </c>
      <c r="B227" s="16" t="s">
        <v>191</v>
      </c>
      <c r="C227" s="15" t="s">
        <v>28</v>
      </c>
      <c r="D227" s="15" t="s">
        <v>26</v>
      </c>
      <c r="E227" s="15" t="s">
        <v>24</v>
      </c>
      <c r="F227" s="15" t="s">
        <v>25</v>
      </c>
      <c r="G227" s="15">
        <v>8</v>
      </c>
      <c r="H227" s="17">
        <v>165.48</v>
      </c>
      <c r="I227" s="17">
        <f>G227*H227</f>
        <v>1323.84</v>
      </c>
      <c r="J227" s="15">
        <f>YEAR(B227)*100+MONTH(B227)</f>
        <v>202409</v>
      </c>
    </row>
    <row r="228" spans="1:10">
      <c r="A228" s="15">
        <v>1028</v>
      </c>
      <c r="B228" s="16" t="s">
        <v>192</v>
      </c>
      <c r="C228" s="15" t="s">
        <v>18</v>
      </c>
      <c r="D228" s="15" t="s">
        <v>26</v>
      </c>
      <c r="E228" s="15" t="s">
        <v>24</v>
      </c>
      <c r="F228" s="15" t="s">
        <v>45</v>
      </c>
      <c r="G228" s="15">
        <v>2</v>
      </c>
      <c r="H228" s="17">
        <v>209.49</v>
      </c>
      <c r="I228" s="17">
        <f>G228*H228</f>
        <v>418.98</v>
      </c>
      <c r="J228" s="15">
        <f>YEAR(B228)*100+MONTH(B228)</f>
        <v>202409</v>
      </c>
    </row>
    <row r="229" spans="1:10">
      <c r="A229" s="15">
        <v>1287</v>
      </c>
      <c r="B229" s="16" t="s">
        <v>193</v>
      </c>
      <c r="C229" s="15" t="s">
        <v>46</v>
      </c>
      <c r="D229" s="15" t="s">
        <v>35</v>
      </c>
      <c r="E229" s="15" t="s">
        <v>20</v>
      </c>
      <c r="F229" s="15" t="s">
        <v>57</v>
      </c>
      <c r="G229" s="15">
        <v>11</v>
      </c>
      <c r="H229" s="17">
        <v>14.29</v>
      </c>
      <c r="I229" s="17">
        <f>G229*H229</f>
        <v>157.19</v>
      </c>
      <c r="J229" s="15">
        <f>YEAR(B229)*100+MONTH(B229)</f>
        <v>202409</v>
      </c>
    </row>
    <row r="230" spans="1:10">
      <c r="A230" s="15">
        <v>1256</v>
      </c>
      <c r="B230" s="16" t="s">
        <v>194</v>
      </c>
      <c r="C230" s="15" t="s">
        <v>46</v>
      </c>
      <c r="D230" s="15" t="s">
        <v>29</v>
      </c>
      <c r="E230" s="15" t="s">
        <v>20</v>
      </c>
      <c r="F230" s="15" t="s">
        <v>57</v>
      </c>
      <c r="G230" s="15">
        <v>9</v>
      </c>
      <c r="H230" s="17">
        <v>15.66</v>
      </c>
      <c r="I230" s="17">
        <f>G230*H230</f>
        <v>140.94</v>
      </c>
      <c r="J230" s="15">
        <f>YEAR(B230)*100+MONTH(B230)</f>
        <v>202409</v>
      </c>
    </row>
    <row r="231" spans="1:10">
      <c r="A231" s="15">
        <v>1238</v>
      </c>
      <c r="B231" s="16" t="s">
        <v>195</v>
      </c>
      <c r="C231" s="15" t="s">
        <v>33</v>
      </c>
      <c r="D231" s="15" t="s">
        <v>29</v>
      </c>
      <c r="E231" s="15" t="s">
        <v>36</v>
      </c>
      <c r="F231" s="15" t="s">
        <v>37</v>
      </c>
      <c r="G231" s="15">
        <v>10</v>
      </c>
      <c r="H231" s="17">
        <v>155.09</v>
      </c>
      <c r="I231" s="17">
        <f>G231*H231</f>
        <v>1550.9</v>
      </c>
      <c r="J231" s="15">
        <f>YEAR(B231)*100+MONTH(B231)</f>
        <v>202409</v>
      </c>
    </row>
    <row r="232" spans="1:10">
      <c r="A232" s="15">
        <v>1283</v>
      </c>
      <c r="B232" s="16" t="s">
        <v>195</v>
      </c>
      <c r="C232" s="15" t="s">
        <v>33</v>
      </c>
      <c r="D232" s="15" t="s">
        <v>35</v>
      </c>
      <c r="E232" s="15" t="s">
        <v>24</v>
      </c>
      <c r="F232" s="15" t="s">
        <v>25</v>
      </c>
      <c r="G232" s="15">
        <v>2</v>
      </c>
      <c r="H232" s="17">
        <v>164.33</v>
      </c>
      <c r="I232" s="17">
        <f>G232*H232</f>
        <v>328.66</v>
      </c>
      <c r="J232" s="15">
        <f>YEAR(B232)*100+MONTH(B232)</f>
        <v>202409</v>
      </c>
    </row>
    <row r="233" spans="1:10">
      <c r="A233" s="15">
        <v>1026</v>
      </c>
      <c r="B233" s="16" t="s">
        <v>196</v>
      </c>
      <c r="C233" s="15" t="s">
        <v>32</v>
      </c>
      <c r="D233" s="15" t="s">
        <v>19</v>
      </c>
      <c r="E233" s="15" t="s">
        <v>24</v>
      </c>
      <c r="F233" s="15" t="s">
        <v>45</v>
      </c>
      <c r="G233" s="15">
        <v>12</v>
      </c>
      <c r="H233" s="17">
        <v>228.97</v>
      </c>
      <c r="I233" s="17">
        <f>G233*H233</f>
        <v>2747.64</v>
      </c>
      <c r="J233" s="15">
        <f>YEAR(B233)*100+MONTH(B233)</f>
        <v>202409</v>
      </c>
    </row>
    <row r="234" spans="1:10">
      <c r="A234" s="15">
        <v>1042</v>
      </c>
      <c r="B234" s="16" t="s">
        <v>197</v>
      </c>
      <c r="C234" s="15" t="s">
        <v>33</v>
      </c>
      <c r="D234" s="15" t="s">
        <v>26</v>
      </c>
      <c r="E234" s="15" t="s">
        <v>38</v>
      </c>
      <c r="F234" s="15" t="s">
        <v>49</v>
      </c>
      <c r="G234" s="15">
        <v>2</v>
      </c>
      <c r="H234" s="17">
        <v>470.21</v>
      </c>
      <c r="I234" s="17">
        <f>G234*H234</f>
        <v>940.42</v>
      </c>
      <c r="J234" s="15">
        <f>YEAR(B234)*100+MONTH(B234)</f>
        <v>202409</v>
      </c>
    </row>
    <row r="235" spans="1:10">
      <c r="A235" s="15">
        <v>1094</v>
      </c>
      <c r="B235" s="16" t="s">
        <v>198</v>
      </c>
      <c r="C235" s="15" t="s">
        <v>32</v>
      </c>
      <c r="D235" s="15" t="s">
        <v>26</v>
      </c>
      <c r="E235" s="15" t="s">
        <v>36</v>
      </c>
      <c r="F235" s="15" t="s">
        <v>37</v>
      </c>
      <c r="G235" s="15">
        <v>2</v>
      </c>
      <c r="H235" s="17">
        <v>142.37</v>
      </c>
      <c r="I235" s="17">
        <f>G235*H235</f>
        <v>284.74</v>
      </c>
      <c r="J235" s="15">
        <f>YEAR(B235)*100+MONTH(B235)</f>
        <v>202410</v>
      </c>
    </row>
    <row r="236" spans="1:10">
      <c r="A236" s="15">
        <v>1041</v>
      </c>
      <c r="B236" s="16" t="s">
        <v>199</v>
      </c>
      <c r="C236" s="15" t="s">
        <v>42</v>
      </c>
      <c r="D236" s="15" t="s">
        <v>29</v>
      </c>
      <c r="E236" s="15" t="s">
        <v>36</v>
      </c>
      <c r="F236" s="15" t="s">
        <v>37</v>
      </c>
      <c r="G236" s="15">
        <v>10</v>
      </c>
      <c r="H236" s="17">
        <v>139.11000000000001</v>
      </c>
      <c r="I236" s="17">
        <f>G236*H236</f>
        <v>1391.1000000000001</v>
      </c>
      <c r="J236" s="15">
        <f>YEAR(B236)*100+MONTH(B236)</f>
        <v>202410</v>
      </c>
    </row>
    <row r="237" spans="1:10">
      <c r="A237" s="15">
        <v>1081</v>
      </c>
      <c r="B237" s="16" t="s">
        <v>200</v>
      </c>
      <c r="C237" s="15" t="s">
        <v>42</v>
      </c>
      <c r="D237" s="15" t="s">
        <v>35</v>
      </c>
      <c r="E237" s="15" t="s">
        <v>24</v>
      </c>
      <c r="F237" s="15" t="s">
        <v>45</v>
      </c>
      <c r="G237" s="15">
        <v>8</v>
      </c>
      <c r="H237" s="17">
        <v>223.67</v>
      </c>
      <c r="I237" s="17">
        <f>G237*H237</f>
        <v>1789.36</v>
      </c>
      <c r="J237" s="15">
        <f>YEAR(B237)*100+MONTH(B237)</f>
        <v>202410</v>
      </c>
    </row>
    <row r="238" spans="1:10">
      <c r="A238" s="15">
        <v>1193</v>
      </c>
      <c r="B238" s="16" t="s">
        <v>200</v>
      </c>
      <c r="C238" s="15" t="s">
        <v>18</v>
      </c>
      <c r="D238" s="15" t="s">
        <v>23</v>
      </c>
      <c r="E238" s="15" t="s">
        <v>20</v>
      </c>
      <c r="F238" s="15" t="s">
        <v>21</v>
      </c>
      <c r="G238" s="15">
        <v>9</v>
      </c>
      <c r="H238" s="17">
        <v>26.23</v>
      </c>
      <c r="I238" s="17">
        <f>G238*H238</f>
        <v>236.07</v>
      </c>
      <c r="J238" s="15">
        <f>YEAR(B238)*100+MONTH(B238)</f>
        <v>202410</v>
      </c>
    </row>
    <row r="239" spans="1:10">
      <c r="A239" s="15">
        <v>1136</v>
      </c>
      <c r="B239" s="16" t="s">
        <v>201</v>
      </c>
      <c r="C239" s="15" t="s">
        <v>18</v>
      </c>
      <c r="D239" s="15" t="s">
        <v>26</v>
      </c>
      <c r="E239" s="15" t="s">
        <v>36</v>
      </c>
      <c r="F239" s="15" t="s">
        <v>75</v>
      </c>
      <c r="G239" s="15">
        <v>5</v>
      </c>
      <c r="H239" s="17">
        <v>558.87</v>
      </c>
      <c r="I239" s="17">
        <f>G239*H239</f>
        <v>2794.35</v>
      </c>
      <c r="J239" s="15">
        <f>YEAR(B239)*100+MONTH(B239)</f>
        <v>202410</v>
      </c>
    </row>
    <row r="240" spans="1:10">
      <c r="A240" s="15">
        <v>1139</v>
      </c>
      <c r="B240" s="16" t="s">
        <v>201</v>
      </c>
      <c r="C240" s="15" t="s">
        <v>42</v>
      </c>
      <c r="D240" s="15" t="s">
        <v>26</v>
      </c>
      <c r="E240" s="15" t="s">
        <v>38</v>
      </c>
      <c r="F240" s="15" t="s">
        <v>52</v>
      </c>
      <c r="G240" s="15">
        <v>12</v>
      </c>
      <c r="H240" s="17">
        <v>683.87</v>
      </c>
      <c r="I240" s="17">
        <f>G240*H240</f>
        <v>8206.44</v>
      </c>
      <c r="J240" s="15">
        <f>YEAR(B240)*100+MONTH(B240)</f>
        <v>202410</v>
      </c>
    </row>
    <row r="241" spans="1:10">
      <c r="A241" s="15">
        <v>1285</v>
      </c>
      <c r="B241" s="16" t="s">
        <v>202</v>
      </c>
      <c r="C241" s="15" t="s">
        <v>28</v>
      </c>
      <c r="D241" s="15" t="s">
        <v>29</v>
      </c>
      <c r="E241" s="15" t="s">
        <v>38</v>
      </c>
      <c r="F241" s="15" t="s">
        <v>49</v>
      </c>
      <c r="G241" s="15">
        <v>1</v>
      </c>
      <c r="H241" s="17">
        <v>439.31</v>
      </c>
      <c r="I241" s="17">
        <f>G241*H241</f>
        <v>439.31</v>
      </c>
      <c r="J241" s="15">
        <f>YEAR(B241)*100+MONTH(B241)</f>
        <v>202410</v>
      </c>
    </row>
    <row r="242" spans="1:10">
      <c r="A242" s="15">
        <v>1019</v>
      </c>
      <c r="B242" s="16" t="s">
        <v>203</v>
      </c>
      <c r="C242" s="15" t="s">
        <v>18</v>
      </c>
      <c r="D242" s="15" t="s">
        <v>35</v>
      </c>
      <c r="E242" s="15" t="s">
        <v>36</v>
      </c>
      <c r="F242" s="15" t="s">
        <v>54</v>
      </c>
      <c r="G242" s="15">
        <v>9</v>
      </c>
      <c r="H242" s="17">
        <v>3227.59</v>
      </c>
      <c r="I242" s="17">
        <f>G242*H242</f>
        <v>29048.31</v>
      </c>
      <c r="J242" s="15">
        <f>YEAR(B242)*100+MONTH(B242)</f>
        <v>202410</v>
      </c>
    </row>
    <row r="243" spans="1:10">
      <c r="A243" s="15">
        <v>1257</v>
      </c>
      <c r="B243" s="16" t="s">
        <v>203</v>
      </c>
      <c r="C243" s="15" t="s">
        <v>32</v>
      </c>
      <c r="D243" s="15" t="s">
        <v>23</v>
      </c>
      <c r="E243" s="15" t="s">
        <v>36</v>
      </c>
      <c r="F243" s="15" t="s">
        <v>75</v>
      </c>
      <c r="G243" s="15">
        <v>1</v>
      </c>
      <c r="H243" s="17">
        <v>620.12</v>
      </c>
      <c r="I243" s="17">
        <f>G243*H243</f>
        <v>620.12</v>
      </c>
      <c r="J243" s="15">
        <f>YEAR(B243)*100+MONTH(B243)</f>
        <v>202410</v>
      </c>
    </row>
    <row r="244" spans="1:10">
      <c r="A244" s="15">
        <v>1108</v>
      </c>
      <c r="B244" s="16" t="s">
        <v>204</v>
      </c>
      <c r="C244" s="15" t="s">
        <v>42</v>
      </c>
      <c r="D244" s="15" t="s">
        <v>23</v>
      </c>
      <c r="E244" s="15" t="s">
        <v>36</v>
      </c>
      <c r="F244" s="15" t="s">
        <v>80</v>
      </c>
      <c r="G244" s="15">
        <v>12</v>
      </c>
      <c r="H244" s="17">
        <v>1676.03</v>
      </c>
      <c r="I244" s="17">
        <f>G244*H244</f>
        <v>20112.36</v>
      </c>
      <c r="J244" s="15">
        <f>YEAR(B244)*100+MONTH(B244)</f>
        <v>202410</v>
      </c>
    </row>
    <row r="245" spans="1:10">
      <c r="A245" s="15">
        <v>1109</v>
      </c>
      <c r="B245" s="16" t="s">
        <v>204</v>
      </c>
      <c r="C245" s="15" t="s">
        <v>42</v>
      </c>
      <c r="D245" s="15" t="s">
        <v>23</v>
      </c>
      <c r="E245" s="15" t="s">
        <v>38</v>
      </c>
      <c r="F245" s="15" t="s">
        <v>39</v>
      </c>
      <c r="G245" s="15">
        <v>12</v>
      </c>
      <c r="H245" s="17">
        <v>373.12</v>
      </c>
      <c r="I245" s="17">
        <f>G245*H245</f>
        <v>4477.4400000000005</v>
      </c>
      <c r="J245" s="15">
        <f>YEAR(B245)*100+MONTH(B245)</f>
        <v>202410</v>
      </c>
    </row>
    <row r="246" spans="1:10">
      <c r="A246" s="15">
        <v>1172</v>
      </c>
      <c r="B246" s="16" t="s">
        <v>205</v>
      </c>
      <c r="C246" s="15" t="s">
        <v>18</v>
      </c>
      <c r="D246" s="15" t="s">
        <v>29</v>
      </c>
      <c r="E246" s="15" t="s">
        <v>20</v>
      </c>
      <c r="F246" s="15" t="s">
        <v>57</v>
      </c>
      <c r="G246" s="15">
        <v>1</v>
      </c>
      <c r="H246" s="17">
        <v>15.34</v>
      </c>
      <c r="I246" s="17">
        <f>G246*H246</f>
        <v>15.34</v>
      </c>
      <c r="J246" s="15">
        <f>YEAR(B246)*100+MONTH(B246)</f>
        <v>202410</v>
      </c>
    </row>
    <row r="247" spans="1:10">
      <c r="A247" s="15">
        <v>1306</v>
      </c>
      <c r="B247" s="16" t="s">
        <v>205</v>
      </c>
      <c r="C247" s="15" t="s">
        <v>42</v>
      </c>
      <c r="D247" s="15" t="s">
        <v>29</v>
      </c>
      <c r="E247" s="15" t="s">
        <v>20</v>
      </c>
      <c r="F247" s="15" t="s">
        <v>57</v>
      </c>
      <c r="G247" s="15">
        <v>9</v>
      </c>
      <c r="H247" s="17">
        <v>14.19</v>
      </c>
      <c r="I247" s="17">
        <f>G247*H247</f>
        <v>127.71</v>
      </c>
      <c r="J247" s="15">
        <f>YEAR(B247)*100+MONTH(B247)</f>
        <v>202410</v>
      </c>
    </row>
    <row r="248" spans="1:10">
      <c r="A248" s="15">
        <v>1175</v>
      </c>
      <c r="B248" s="16" t="s">
        <v>206</v>
      </c>
      <c r="C248" s="15" t="s">
        <v>32</v>
      </c>
      <c r="D248" s="15" t="s">
        <v>23</v>
      </c>
      <c r="E248" s="15" t="s">
        <v>20</v>
      </c>
      <c r="F248" s="15" t="s">
        <v>43</v>
      </c>
      <c r="G248" s="15">
        <v>2</v>
      </c>
      <c r="H248" s="17">
        <v>37.950000000000003</v>
      </c>
      <c r="I248" s="17">
        <f>G248*H248</f>
        <v>75.900000000000006</v>
      </c>
      <c r="J248" s="15">
        <f>YEAR(B248)*100+MONTH(B248)</f>
        <v>202410</v>
      </c>
    </row>
    <row r="249" spans="1:10">
      <c r="A249" s="15">
        <v>1275</v>
      </c>
      <c r="B249" s="16" t="s">
        <v>206</v>
      </c>
      <c r="C249" s="15" t="s">
        <v>42</v>
      </c>
      <c r="D249" s="15" t="s">
        <v>19</v>
      </c>
      <c r="E249" s="15" t="s">
        <v>36</v>
      </c>
      <c r="F249" s="15" t="s">
        <v>37</v>
      </c>
      <c r="G249" s="15">
        <v>12</v>
      </c>
      <c r="H249" s="17">
        <v>153.11000000000001</v>
      </c>
      <c r="I249" s="17">
        <f>G249*H249</f>
        <v>1837.3200000000002</v>
      </c>
      <c r="J249" s="15">
        <f>YEAR(B249)*100+MONTH(B249)</f>
        <v>202410</v>
      </c>
    </row>
    <row r="250" spans="1:10">
      <c r="A250" s="15">
        <v>1290</v>
      </c>
      <c r="B250" s="16" t="s">
        <v>207</v>
      </c>
      <c r="C250" s="15" t="s">
        <v>46</v>
      </c>
      <c r="D250" s="15" t="s">
        <v>35</v>
      </c>
      <c r="E250" s="15" t="s">
        <v>36</v>
      </c>
      <c r="F250" s="15" t="s">
        <v>54</v>
      </c>
      <c r="G250" s="15">
        <v>11</v>
      </c>
      <c r="H250" s="17">
        <v>2977.79</v>
      </c>
      <c r="I250" s="17">
        <f>G250*H250</f>
        <v>32755.69</v>
      </c>
      <c r="J250" s="15">
        <f>YEAR(B250)*100+MONTH(B250)</f>
        <v>202410</v>
      </c>
    </row>
    <row r="251" spans="1:10">
      <c r="A251" s="15">
        <v>1106</v>
      </c>
      <c r="B251" s="16" t="s">
        <v>208</v>
      </c>
      <c r="C251" s="15" t="s">
        <v>33</v>
      </c>
      <c r="D251" s="15" t="s">
        <v>23</v>
      </c>
      <c r="E251" s="15" t="s">
        <v>24</v>
      </c>
      <c r="F251" s="15" t="s">
        <v>25</v>
      </c>
      <c r="G251" s="15">
        <v>6</v>
      </c>
      <c r="H251" s="17">
        <v>147.80000000000001</v>
      </c>
      <c r="I251" s="17">
        <f>G251*H251</f>
        <v>886.80000000000007</v>
      </c>
      <c r="J251" s="15">
        <f>YEAR(B251)*100+MONTH(B251)</f>
        <v>202410</v>
      </c>
    </row>
    <row r="252" spans="1:10">
      <c r="A252" s="15">
        <v>1123</v>
      </c>
      <c r="B252" s="16" t="s">
        <v>208</v>
      </c>
      <c r="C252" s="15" t="s">
        <v>32</v>
      </c>
      <c r="D252" s="15" t="s">
        <v>19</v>
      </c>
      <c r="E252" s="15" t="s">
        <v>36</v>
      </c>
      <c r="F252" s="15" t="s">
        <v>54</v>
      </c>
      <c r="G252" s="15">
        <v>4</v>
      </c>
      <c r="H252" s="17">
        <v>3338.2</v>
      </c>
      <c r="I252" s="17">
        <f>G252*H252</f>
        <v>13352.8</v>
      </c>
      <c r="J252" s="15">
        <f>YEAR(B252)*100+MONTH(B252)</f>
        <v>202410</v>
      </c>
    </row>
    <row r="253" spans="1:10">
      <c r="A253" s="15">
        <v>1163</v>
      </c>
      <c r="B253" s="16" t="s">
        <v>209</v>
      </c>
      <c r="C253" s="15" t="s">
        <v>18</v>
      </c>
      <c r="D253" s="15" t="s">
        <v>26</v>
      </c>
      <c r="E253" s="15" t="s">
        <v>20</v>
      </c>
      <c r="F253" s="15" t="s">
        <v>43</v>
      </c>
      <c r="G253" s="15">
        <v>12</v>
      </c>
      <c r="H253" s="17">
        <v>38.340000000000003</v>
      </c>
      <c r="I253" s="17">
        <f>G253*H253</f>
        <v>460.08000000000004</v>
      </c>
      <c r="J253" s="15">
        <f>YEAR(B253)*100+MONTH(B253)</f>
        <v>202410</v>
      </c>
    </row>
    <row r="254" spans="1:10">
      <c r="A254" s="15">
        <v>1087</v>
      </c>
      <c r="B254" s="16" t="s">
        <v>210</v>
      </c>
      <c r="C254" s="15" t="s">
        <v>18</v>
      </c>
      <c r="D254" s="15" t="s">
        <v>23</v>
      </c>
      <c r="E254" s="15" t="s">
        <v>24</v>
      </c>
      <c r="F254" s="15" t="s">
        <v>25</v>
      </c>
      <c r="G254" s="15">
        <v>6</v>
      </c>
      <c r="H254" s="17">
        <v>147.32</v>
      </c>
      <c r="I254" s="17">
        <f>G254*H254</f>
        <v>883.92</v>
      </c>
      <c r="J254" s="15">
        <f>YEAR(B254)*100+MONTH(B254)</f>
        <v>202410</v>
      </c>
    </row>
    <row r="255" spans="1:10">
      <c r="A255" s="15">
        <v>1120</v>
      </c>
      <c r="B255" s="16" t="s">
        <v>211</v>
      </c>
      <c r="C255" s="15" t="s">
        <v>18</v>
      </c>
      <c r="D255" s="15" t="s">
        <v>26</v>
      </c>
      <c r="E255" s="15" t="s">
        <v>36</v>
      </c>
      <c r="F255" s="15" t="s">
        <v>80</v>
      </c>
      <c r="G255" s="15">
        <v>10</v>
      </c>
      <c r="H255" s="17">
        <v>1690.91</v>
      </c>
      <c r="I255" s="17">
        <f>G255*H255</f>
        <v>16909.100000000002</v>
      </c>
      <c r="J255" s="15">
        <f>YEAR(B255)*100+MONTH(B255)</f>
        <v>202410</v>
      </c>
    </row>
    <row r="256" spans="1:10">
      <c r="A256" s="15">
        <v>1161</v>
      </c>
      <c r="B256" s="16" t="s">
        <v>212</v>
      </c>
      <c r="C256" s="15" t="s">
        <v>18</v>
      </c>
      <c r="D256" s="15" t="s">
        <v>23</v>
      </c>
      <c r="E256" s="15" t="s">
        <v>20</v>
      </c>
      <c r="F256" s="15" t="s">
        <v>43</v>
      </c>
      <c r="G256" s="15">
        <v>12</v>
      </c>
      <c r="H256" s="17">
        <v>41.8</v>
      </c>
      <c r="I256" s="17">
        <f>G256*H256</f>
        <v>501.59999999999997</v>
      </c>
      <c r="J256" s="15">
        <f>YEAR(B256)*100+MONTH(B256)</f>
        <v>202410</v>
      </c>
    </row>
    <row r="257" spans="1:10">
      <c r="A257" s="15">
        <v>1179</v>
      </c>
      <c r="B257" s="16" t="s">
        <v>212</v>
      </c>
      <c r="C257" s="15" t="s">
        <v>46</v>
      </c>
      <c r="D257" s="15" t="s">
        <v>23</v>
      </c>
      <c r="E257" s="15" t="s">
        <v>38</v>
      </c>
      <c r="F257" s="15" t="s">
        <v>52</v>
      </c>
      <c r="G257" s="15">
        <v>8</v>
      </c>
      <c r="H257" s="17">
        <v>703.6</v>
      </c>
      <c r="I257" s="17">
        <f>G257*H257</f>
        <v>5628.8</v>
      </c>
      <c r="J257" s="15">
        <f>YEAR(B257)*100+MONTH(B257)</f>
        <v>202410</v>
      </c>
    </row>
    <row r="258" spans="1:10">
      <c r="A258" s="15">
        <v>1029</v>
      </c>
      <c r="B258" s="16" t="s">
        <v>213</v>
      </c>
      <c r="C258" s="15" t="s">
        <v>32</v>
      </c>
      <c r="D258" s="15" t="s">
        <v>26</v>
      </c>
      <c r="E258" s="15" t="s">
        <v>38</v>
      </c>
      <c r="F258" s="15" t="s">
        <v>39</v>
      </c>
      <c r="G258" s="15">
        <v>2</v>
      </c>
      <c r="H258" s="17">
        <v>360.48</v>
      </c>
      <c r="I258" s="17">
        <f>G258*H258</f>
        <v>720.96</v>
      </c>
      <c r="J258" s="15">
        <f>YEAR(B258)*100+MONTH(B258)</f>
        <v>202410</v>
      </c>
    </row>
    <row r="259" spans="1:10">
      <c r="A259" s="15">
        <v>1218</v>
      </c>
      <c r="B259" s="16" t="s">
        <v>213</v>
      </c>
      <c r="C259" s="15" t="s">
        <v>32</v>
      </c>
      <c r="D259" s="15" t="s">
        <v>35</v>
      </c>
      <c r="E259" s="15" t="s">
        <v>24</v>
      </c>
      <c r="F259" s="15" t="s">
        <v>30</v>
      </c>
      <c r="G259" s="15">
        <v>5</v>
      </c>
      <c r="H259" s="17">
        <v>176.74</v>
      </c>
      <c r="I259" s="17">
        <f>G259*H259</f>
        <v>883.7</v>
      </c>
      <c r="J259" s="15">
        <f>YEAR(B259)*100+MONTH(B259)</f>
        <v>202410</v>
      </c>
    </row>
    <row r="260" spans="1:10">
      <c r="A260" s="15">
        <v>1289</v>
      </c>
      <c r="B260" s="16" t="s">
        <v>214</v>
      </c>
      <c r="C260" s="15" t="s">
        <v>46</v>
      </c>
      <c r="D260" s="15" t="s">
        <v>35</v>
      </c>
      <c r="E260" s="15" t="s">
        <v>38</v>
      </c>
      <c r="F260" s="15" t="s">
        <v>49</v>
      </c>
      <c r="G260" s="15">
        <v>12</v>
      </c>
      <c r="H260" s="17">
        <v>452.54</v>
      </c>
      <c r="I260" s="17">
        <f>G260*H260</f>
        <v>5430.4800000000005</v>
      </c>
      <c r="J260" s="15">
        <f>YEAR(B260)*100+MONTH(B260)</f>
        <v>202410</v>
      </c>
    </row>
    <row r="261" spans="1:10">
      <c r="A261" s="15">
        <v>1043</v>
      </c>
      <c r="B261" s="16" t="s">
        <v>215</v>
      </c>
      <c r="C261" s="15" t="s">
        <v>33</v>
      </c>
      <c r="D261" s="15" t="s">
        <v>29</v>
      </c>
      <c r="E261" s="15" t="s">
        <v>36</v>
      </c>
      <c r="F261" s="15" t="s">
        <v>80</v>
      </c>
      <c r="G261" s="15">
        <v>10</v>
      </c>
      <c r="H261" s="17">
        <v>1750.48</v>
      </c>
      <c r="I261" s="17">
        <f>G261*H261</f>
        <v>17504.8</v>
      </c>
      <c r="J261" s="15">
        <f>YEAR(B261)*100+MONTH(B261)</f>
        <v>202410</v>
      </c>
    </row>
    <row r="262" spans="1:10">
      <c r="A262" s="15">
        <v>1044</v>
      </c>
      <c r="B262" s="16" t="s">
        <v>215</v>
      </c>
      <c r="C262" s="15" t="s">
        <v>46</v>
      </c>
      <c r="D262" s="15" t="s">
        <v>29</v>
      </c>
      <c r="E262" s="15" t="s">
        <v>36</v>
      </c>
      <c r="F262" s="15" t="s">
        <v>54</v>
      </c>
      <c r="G262" s="15">
        <v>10</v>
      </c>
      <c r="H262" s="17">
        <v>3118.4</v>
      </c>
      <c r="I262" s="17">
        <f>G262*H262</f>
        <v>31184</v>
      </c>
      <c r="J262" s="15">
        <f>YEAR(B262)*100+MONTH(B262)</f>
        <v>202410</v>
      </c>
    </row>
    <row r="263" spans="1:10">
      <c r="A263" s="15">
        <v>1018</v>
      </c>
      <c r="B263" s="16" t="s">
        <v>216</v>
      </c>
      <c r="C263" s="15" t="s">
        <v>46</v>
      </c>
      <c r="D263" s="15" t="s">
        <v>35</v>
      </c>
      <c r="E263" s="15" t="s">
        <v>36</v>
      </c>
      <c r="F263" s="15" t="s">
        <v>75</v>
      </c>
      <c r="G263" s="15">
        <v>8</v>
      </c>
      <c r="H263" s="17">
        <v>581.77</v>
      </c>
      <c r="I263" s="17">
        <f>G263*H263</f>
        <v>4654.16</v>
      </c>
      <c r="J263" s="15">
        <f>YEAR(B263)*100+MONTH(B263)</f>
        <v>202411</v>
      </c>
    </row>
    <row r="264" spans="1:10">
      <c r="A264" s="15">
        <v>1065</v>
      </c>
      <c r="B264" s="16" t="s">
        <v>216</v>
      </c>
      <c r="C264" s="15" t="s">
        <v>42</v>
      </c>
      <c r="D264" s="15" t="s">
        <v>29</v>
      </c>
      <c r="E264" s="15" t="s">
        <v>24</v>
      </c>
      <c r="F264" s="15" t="s">
        <v>25</v>
      </c>
      <c r="G264" s="15">
        <v>6</v>
      </c>
      <c r="H264" s="17">
        <v>162.35</v>
      </c>
      <c r="I264" s="17">
        <f>G264*H264</f>
        <v>974.09999999999991</v>
      </c>
      <c r="J264" s="15">
        <f>YEAR(B264)*100+MONTH(B264)</f>
        <v>202411</v>
      </c>
    </row>
    <row r="265" spans="1:10">
      <c r="A265" s="15">
        <v>1115</v>
      </c>
      <c r="B265" s="16" t="s">
        <v>216</v>
      </c>
      <c r="C265" s="15" t="s">
        <v>33</v>
      </c>
      <c r="D265" s="15" t="s">
        <v>35</v>
      </c>
      <c r="E265" s="15" t="s">
        <v>20</v>
      </c>
      <c r="F265" s="15" t="s">
        <v>57</v>
      </c>
      <c r="G265" s="15">
        <v>5</v>
      </c>
      <c r="H265" s="17">
        <v>15.42</v>
      </c>
      <c r="I265" s="17">
        <f>G265*H265</f>
        <v>77.099999999999994</v>
      </c>
      <c r="J265" s="15">
        <f>YEAR(B265)*100+MONTH(B265)</f>
        <v>202411</v>
      </c>
    </row>
    <row r="266" spans="1:10">
      <c r="A266" s="15">
        <v>1185</v>
      </c>
      <c r="B266" s="16" t="s">
        <v>216</v>
      </c>
      <c r="C266" s="15" t="s">
        <v>33</v>
      </c>
      <c r="D266" s="15" t="s">
        <v>29</v>
      </c>
      <c r="E266" s="15" t="s">
        <v>36</v>
      </c>
      <c r="F266" s="15" t="s">
        <v>37</v>
      </c>
      <c r="G266" s="15">
        <v>3</v>
      </c>
      <c r="H266" s="17">
        <v>154.74</v>
      </c>
      <c r="I266" s="17">
        <f>G266*H266</f>
        <v>464.22</v>
      </c>
      <c r="J266" s="15">
        <f>YEAR(B266)*100+MONTH(B266)</f>
        <v>202411</v>
      </c>
    </row>
    <row r="267" spans="1:10">
      <c r="A267" s="15">
        <v>1312</v>
      </c>
      <c r="B267" s="16" t="s">
        <v>216</v>
      </c>
      <c r="C267" s="15" t="s">
        <v>46</v>
      </c>
      <c r="D267" s="15" t="s">
        <v>19</v>
      </c>
      <c r="E267" s="15" t="s">
        <v>24</v>
      </c>
      <c r="F267" s="15" t="s">
        <v>25</v>
      </c>
      <c r="G267" s="15">
        <v>10</v>
      </c>
      <c r="H267" s="17">
        <v>167.32</v>
      </c>
      <c r="I267" s="17">
        <f>G267*H267</f>
        <v>1673.1999999999998</v>
      </c>
      <c r="J267" s="15">
        <f>YEAR(B267)*100+MONTH(B267)</f>
        <v>202411</v>
      </c>
    </row>
    <row r="268" spans="1:10">
      <c r="A268" s="15">
        <v>1211</v>
      </c>
      <c r="B268" s="16" t="s">
        <v>217</v>
      </c>
      <c r="C268" s="15" t="s">
        <v>33</v>
      </c>
      <c r="D268" s="15" t="s">
        <v>35</v>
      </c>
      <c r="E268" s="15" t="s">
        <v>36</v>
      </c>
      <c r="F268" s="15" t="s">
        <v>54</v>
      </c>
      <c r="G268" s="15">
        <v>4</v>
      </c>
      <c r="H268" s="17">
        <v>3029.04</v>
      </c>
      <c r="I268" s="17">
        <f>G268*H268</f>
        <v>12116.16</v>
      </c>
      <c r="J268" s="15">
        <f>YEAR(B268)*100+MONTH(B268)</f>
        <v>202411</v>
      </c>
    </row>
    <row r="269" spans="1:10">
      <c r="A269" s="15">
        <v>1131</v>
      </c>
      <c r="B269" s="16" t="s">
        <v>218</v>
      </c>
      <c r="C269" s="15" t="s">
        <v>46</v>
      </c>
      <c r="D269" s="15" t="s">
        <v>29</v>
      </c>
      <c r="E269" s="15" t="s">
        <v>20</v>
      </c>
      <c r="F269" s="15" t="s">
        <v>57</v>
      </c>
      <c r="G269" s="15">
        <v>11</v>
      </c>
      <c r="H269" s="17">
        <v>13.98</v>
      </c>
      <c r="I269" s="17">
        <f>G269*H269</f>
        <v>153.78</v>
      </c>
      <c r="J269" s="15">
        <f>YEAR(B269)*100+MONTH(B269)</f>
        <v>202411</v>
      </c>
    </row>
    <row r="270" spans="1:10">
      <c r="A270" s="15">
        <v>1165</v>
      </c>
      <c r="B270" s="16" t="s">
        <v>219</v>
      </c>
      <c r="C270" s="15" t="s">
        <v>46</v>
      </c>
      <c r="D270" s="15" t="s">
        <v>35</v>
      </c>
      <c r="E270" s="15" t="s">
        <v>24</v>
      </c>
      <c r="F270" s="15" t="s">
        <v>25</v>
      </c>
      <c r="G270" s="15">
        <v>4</v>
      </c>
      <c r="H270" s="17">
        <v>163.34</v>
      </c>
      <c r="I270" s="17">
        <f>G270*H270</f>
        <v>653.36</v>
      </c>
      <c r="J270" s="15">
        <f>YEAR(B270)*100+MONTH(B270)</f>
        <v>202411</v>
      </c>
    </row>
    <row r="271" spans="1:10">
      <c r="A271" s="15">
        <v>1011</v>
      </c>
      <c r="B271" s="16" t="s">
        <v>220</v>
      </c>
      <c r="C271" s="15" t="s">
        <v>42</v>
      </c>
      <c r="D271" s="15" t="s">
        <v>23</v>
      </c>
      <c r="E271" s="15" t="s">
        <v>38</v>
      </c>
      <c r="F271" s="15" t="s">
        <v>39</v>
      </c>
      <c r="G271" s="15">
        <v>3</v>
      </c>
      <c r="H271" s="17">
        <v>385.62</v>
      </c>
      <c r="I271" s="17">
        <f>G271*H271</f>
        <v>1156.8600000000001</v>
      </c>
      <c r="J271" s="15">
        <f>YEAR(B271)*100+MONTH(B271)</f>
        <v>202411</v>
      </c>
    </row>
    <row r="272" spans="1:10">
      <c r="A272" s="15">
        <v>1022</v>
      </c>
      <c r="B272" s="16" t="s">
        <v>220</v>
      </c>
      <c r="C272" s="15" t="s">
        <v>46</v>
      </c>
      <c r="D272" s="15" t="s">
        <v>29</v>
      </c>
      <c r="E272" s="15" t="s">
        <v>38</v>
      </c>
      <c r="F272" s="15" t="s">
        <v>49</v>
      </c>
      <c r="G272" s="15">
        <v>3</v>
      </c>
      <c r="H272" s="17">
        <v>435.87</v>
      </c>
      <c r="I272" s="17">
        <f>G272*H272</f>
        <v>1307.6100000000001</v>
      </c>
      <c r="J272" s="15">
        <f>YEAR(B272)*100+MONTH(B272)</f>
        <v>202411</v>
      </c>
    </row>
    <row r="273" spans="1:10">
      <c r="A273" s="15">
        <v>1230</v>
      </c>
      <c r="B273" s="16" t="s">
        <v>221</v>
      </c>
      <c r="C273" s="15" t="s">
        <v>42</v>
      </c>
      <c r="D273" s="15" t="s">
        <v>23</v>
      </c>
      <c r="E273" s="15" t="s">
        <v>38</v>
      </c>
      <c r="F273" s="15" t="s">
        <v>52</v>
      </c>
      <c r="G273" s="15">
        <v>5</v>
      </c>
      <c r="H273" s="17">
        <v>677.93</v>
      </c>
      <c r="I273" s="17">
        <f>G273*H273</f>
        <v>3389.6499999999996</v>
      </c>
      <c r="J273" s="15">
        <f>YEAR(B273)*100+MONTH(B273)</f>
        <v>202411</v>
      </c>
    </row>
    <row r="274" spans="1:10">
      <c r="A274" s="15">
        <v>1241</v>
      </c>
      <c r="B274" s="16" t="s">
        <v>221</v>
      </c>
      <c r="C274" s="15" t="s">
        <v>46</v>
      </c>
      <c r="D274" s="15" t="s">
        <v>19</v>
      </c>
      <c r="E274" s="15" t="s">
        <v>20</v>
      </c>
      <c r="F274" s="15" t="s">
        <v>43</v>
      </c>
      <c r="G274" s="15">
        <v>4</v>
      </c>
      <c r="H274" s="17">
        <v>40.880000000000003</v>
      </c>
      <c r="I274" s="17">
        <f>G274*H274</f>
        <v>163.52000000000001</v>
      </c>
      <c r="J274" s="15">
        <f>YEAR(B274)*100+MONTH(B274)</f>
        <v>202411</v>
      </c>
    </row>
    <row r="275" spans="1:10">
      <c r="A275" s="15">
        <v>1319</v>
      </c>
      <c r="B275" s="16" t="s">
        <v>221</v>
      </c>
      <c r="C275" s="15" t="s">
        <v>46</v>
      </c>
      <c r="D275" s="15" t="s">
        <v>35</v>
      </c>
      <c r="E275" s="15" t="s">
        <v>24</v>
      </c>
      <c r="F275" s="15" t="s">
        <v>45</v>
      </c>
      <c r="G275" s="15">
        <v>5</v>
      </c>
      <c r="H275" s="17">
        <v>229.78</v>
      </c>
      <c r="I275" s="17">
        <f>G275*H275</f>
        <v>1148.9000000000001</v>
      </c>
      <c r="J275" s="15">
        <f>YEAR(B275)*100+MONTH(B275)</f>
        <v>202411</v>
      </c>
    </row>
    <row r="276" spans="1:10">
      <c r="A276" s="15">
        <v>1276</v>
      </c>
      <c r="B276" s="16" t="s">
        <v>222</v>
      </c>
      <c r="C276" s="15" t="s">
        <v>33</v>
      </c>
      <c r="D276" s="15" t="s">
        <v>26</v>
      </c>
      <c r="E276" s="15" t="s">
        <v>20</v>
      </c>
      <c r="F276" s="15" t="s">
        <v>43</v>
      </c>
      <c r="G276" s="15">
        <v>8</v>
      </c>
      <c r="H276" s="17">
        <v>41.57</v>
      </c>
      <c r="I276" s="17">
        <f>G276*H276</f>
        <v>332.56</v>
      </c>
      <c r="J276" s="15">
        <f>YEAR(B276)*100+MONTH(B276)</f>
        <v>202411</v>
      </c>
    </row>
    <row r="277" spans="1:10">
      <c r="A277" s="15">
        <v>1282</v>
      </c>
      <c r="B277" s="16" t="s">
        <v>222</v>
      </c>
      <c r="C277" s="15" t="s">
        <v>32</v>
      </c>
      <c r="D277" s="15" t="s">
        <v>23</v>
      </c>
      <c r="E277" s="15" t="s">
        <v>36</v>
      </c>
      <c r="F277" s="15" t="s">
        <v>54</v>
      </c>
      <c r="G277" s="15">
        <v>12</v>
      </c>
      <c r="H277" s="17">
        <v>3072.66</v>
      </c>
      <c r="I277" s="17">
        <f>G277*H277</f>
        <v>36871.919999999998</v>
      </c>
      <c r="J277" s="15">
        <f>YEAR(B277)*100+MONTH(B277)</f>
        <v>202411</v>
      </c>
    </row>
    <row r="278" spans="1:10">
      <c r="A278" s="15">
        <v>1203</v>
      </c>
      <c r="B278" s="16" t="s">
        <v>223</v>
      </c>
      <c r="C278" s="15" t="s">
        <v>32</v>
      </c>
      <c r="D278" s="15" t="s">
        <v>35</v>
      </c>
      <c r="E278" s="15" t="s">
        <v>36</v>
      </c>
      <c r="F278" s="15" t="s">
        <v>37</v>
      </c>
      <c r="G278" s="15">
        <v>5</v>
      </c>
      <c r="H278" s="17">
        <v>138.56</v>
      </c>
      <c r="I278" s="17">
        <f>G278*H278</f>
        <v>692.8</v>
      </c>
      <c r="J278" s="15">
        <f>YEAR(B278)*100+MONTH(B278)</f>
        <v>202411</v>
      </c>
    </row>
    <row r="279" spans="1:10">
      <c r="A279" s="15">
        <v>1104</v>
      </c>
      <c r="B279" s="16" t="s">
        <v>224</v>
      </c>
      <c r="C279" s="15" t="s">
        <v>46</v>
      </c>
      <c r="D279" s="15" t="s">
        <v>35</v>
      </c>
      <c r="E279" s="15" t="s">
        <v>24</v>
      </c>
      <c r="F279" s="15" t="s">
        <v>25</v>
      </c>
      <c r="G279" s="15">
        <v>12</v>
      </c>
      <c r="H279" s="17">
        <v>156.26</v>
      </c>
      <c r="I279" s="17">
        <f>G279*H279</f>
        <v>1875.12</v>
      </c>
      <c r="J279" s="15">
        <f>YEAR(B279)*100+MONTH(B279)</f>
        <v>202411</v>
      </c>
    </row>
    <row r="280" spans="1:10">
      <c r="A280" s="15">
        <v>1154</v>
      </c>
      <c r="B280" s="16" t="s">
        <v>225</v>
      </c>
      <c r="C280" s="15" t="s">
        <v>33</v>
      </c>
      <c r="D280" s="15" t="s">
        <v>26</v>
      </c>
      <c r="E280" s="15" t="s">
        <v>36</v>
      </c>
      <c r="F280" s="15" t="s">
        <v>80</v>
      </c>
      <c r="G280" s="15">
        <v>5</v>
      </c>
      <c r="H280" s="17">
        <v>1803.69</v>
      </c>
      <c r="I280" s="17">
        <f>G280*H280</f>
        <v>9018.4500000000007</v>
      </c>
      <c r="J280" s="15">
        <f>YEAR(B280)*100+MONTH(B280)</f>
        <v>202411</v>
      </c>
    </row>
    <row r="281" spans="1:10">
      <c r="A281" s="15">
        <v>1138</v>
      </c>
      <c r="B281" s="16" t="s">
        <v>226</v>
      </c>
      <c r="C281" s="15" t="s">
        <v>33</v>
      </c>
      <c r="D281" s="15" t="s">
        <v>35</v>
      </c>
      <c r="E281" s="15" t="s">
        <v>24</v>
      </c>
      <c r="F281" s="15" t="s">
        <v>30</v>
      </c>
      <c r="G281" s="15">
        <v>1</v>
      </c>
      <c r="H281" s="17">
        <v>185.72</v>
      </c>
      <c r="I281" s="17">
        <f>G281*H281</f>
        <v>185.72</v>
      </c>
      <c r="J281" s="15">
        <f>YEAR(B281)*100+MONTH(B281)</f>
        <v>202411</v>
      </c>
    </row>
    <row r="282" spans="1:10">
      <c r="A282" s="15">
        <v>1305</v>
      </c>
      <c r="B282" s="16" t="s">
        <v>227</v>
      </c>
      <c r="C282" s="15" t="s">
        <v>18</v>
      </c>
      <c r="D282" s="15" t="s">
        <v>35</v>
      </c>
      <c r="E282" s="15" t="s">
        <v>36</v>
      </c>
      <c r="F282" s="15" t="s">
        <v>80</v>
      </c>
      <c r="G282" s="15">
        <v>7</v>
      </c>
      <c r="H282" s="17">
        <v>1884.17</v>
      </c>
      <c r="I282" s="17">
        <f>G282*H282</f>
        <v>13189.19</v>
      </c>
      <c r="J282" s="15">
        <f>YEAR(B282)*100+MONTH(B282)</f>
        <v>202411</v>
      </c>
    </row>
    <row r="283" spans="1:10">
      <c r="A283" s="15">
        <v>1167</v>
      </c>
      <c r="B283" s="16" t="s">
        <v>228</v>
      </c>
      <c r="C283" s="15" t="s">
        <v>28</v>
      </c>
      <c r="D283" s="15" t="s">
        <v>29</v>
      </c>
      <c r="E283" s="15" t="s">
        <v>36</v>
      </c>
      <c r="F283" s="15" t="s">
        <v>54</v>
      </c>
      <c r="G283" s="15">
        <v>8</v>
      </c>
      <c r="H283" s="17">
        <v>3072.52</v>
      </c>
      <c r="I283" s="17">
        <f>G283*H283</f>
        <v>24580.16</v>
      </c>
      <c r="J283" s="15">
        <f>YEAR(B283)*100+MONTH(B283)</f>
        <v>202411</v>
      </c>
    </row>
    <row r="284" spans="1:10">
      <c r="A284" s="15">
        <v>1292</v>
      </c>
      <c r="B284" s="16" t="s">
        <v>228</v>
      </c>
      <c r="C284" s="15" t="s">
        <v>33</v>
      </c>
      <c r="D284" s="15" t="s">
        <v>23</v>
      </c>
      <c r="E284" s="15" t="s">
        <v>20</v>
      </c>
      <c r="F284" s="15" t="s">
        <v>43</v>
      </c>
      <c r="G284" s="15">
        <v>8</v>
      </c>
      <c r="H284" s="17">
        <v>41.77</v>
      </c>
      <c r="I284" s="17">
        <f>G284*H284</f>
        <v>334.16</v>
      </c>
      <c r="J284" s="15">
        <f>YEAR(B284)*100+MONTH(B284)</f>
        <v>202411</v>
      </c>
    </row>
    <row r="285" spans="1:10">
      <c r="A285" s="15">
        <v>1077</v>
      </c>
      <c r="B285" s="16" t="s">
        <v>229</v>
      </c>
      <c r="C285" s="15" t="s">
        <v>42</v>
      </c>
      <c r="D285" s="15" t="s">
        <v>19</v>
      </c>
      <c r="E285" s="15" t="s">
        <v>38</v>
      </c>
      <c r="F285" s="15" t="s">
        <v>39</v>
      </c>
      <c r="G285" s="15">
        <v>8</v>
      </c>
      <c r="H285" s="17">
        <v>384</v>
      </c>
      <c r="I285" s="17">
        <f>G285*H285</f>
        <v>3072</v>
      </c>
      <c r="J285" s="15">
        <f>YEAR(B285)*100+MONTH(B285)</f>
        <v>202411</v>
      </c>
    </row>
    <row r="286" spans="1:10">
      <c r="A286" s="15">
        <v>1001</v>
      </c>
      <c r="B286" s="16" t="s">
        <v>230</v>
      </c>
      <c r="C286" s="15" t="s">
        <v>33</v>
      </c>
      <c r="D286" s="15" t="s">
        <v>19</v>
      </c>
      <c r="E286" s="15" t="s">
        <v>36</v>
      </c>
      <c r="F286" s="15" t="s">
        <v>54</v>
      </c>
      <c r="G286" s="15">
        <v>4</v>
      </c>
      <c r="H286" s="17">
        <v>3252.49</v>
      </c>
      <c r="I286" s="17">
        <f>G286*H286</f>
        <v>13009.96</v>
      </c>
      <c r="J286" s="15">
        <f>YEAR(B286)*100+MONTH(B286)</f>
        <v>202411</v>
      </c>
    </row>
    <row r="287" spans="1:10">
      <c r="A287" s="15">
        <v>1253</v>
      </c>
      <c r="B287" s="16" t="s">
        <v>230</v>
      </c>
      <c r="C287" s="15" t="s">
        <v>46</v>
      </c>
      <c r="D287" s="15" t="s">
        <v>29</v>
      </c>
      <c r="E287" s="15" t="s">
        <v>24</v>
      </c>
      <c r="F287" s="15" t="s">
        <v>45</v>
      </c>
      <c r="G287" s="15">
        <v>8</v>
      </c>
      <c r="H287" s="17">
        <v>205.57</v>
      </c>
      <c r="I287" s="17">
        <f>G287*H287</f>
        <v>1644.56</v>
      </c>
      <c r="J287" s="15">
        <f>YEAR(B287)*100+MONTH(B287)</f>
        <v>202411</v>
      </c>
    </row>
    <row r="288" spans="1:10">
      <c r="A288" s="15">
        <v>1063</v>
      </c>
      <c r="B288" s="16" t="s">
        <v>231</v>
      </c>
      <c r="C288" s="15" t="s">
        <v>18</v>
      </c>
      <c r="D288" s="15" t="s">
        <v>26</v>
      </c>
      <c r="E288" s="15" t="s">
        <v>24</v>
      </c>
      <c r="F288" s="15" t="s">
        <v>30</v>
      </c>
      <c r="G288" s="15">
        <v>9</v>
      </c>
      <c r="H288" s="17">
        <v>199.03</v>
      </c>
      <c r="I288" s="17">
        <f>G288*H288</f>
        <v>1791.27</v>
      </c>
      <c r="J288" s="15">
        <f>YEAR(B288)*100+MONTH(B288)</f>
        <v>202411</v>
      </c>
    </row>
    <row r="289" spans="1:10">
      <c r="A289" s="15">
        <v>1183</v>
      </c>
      <c r="B289" s="16" t="s">
        <v>231</v>
      </c>
      <c r="C289" s="15" t="s">
        <v>33</v>
      </c>
      <c r="D289" s="15" t="s">
        <v>29</v>
      </c>
      <c r="E289" s="15" t="s">
        <v>36</v>
      </c>
      <c r="F289" s="15" t="s">
        <v>54</v>
      </c>
      <c r="G289" s="15">
        <v>4</v>
      </c>
      <c r="H289" s="17">
        <v>3271.31</v>
      </c>
      <c r="I289" s="17">
        <f>G289*H289</f>
        <v>13085.24</v>
      </c>
      <c r="J289" s="15">
        <f>YEAR(B289)*100+MONTH(B289)</f>
        <v>202411</v>
      </c>
    </row>
    <row r="290" spans="1:10">
      <c r="A290" s="15">
        <v>1284</v>
      </c>
      <c r="B290" s="16" t="s">
        <v>231</v>
      </c>
      <c r="C290" s="15" t="s">
        <v>18</v>
      </c>
      <c r="D290" s="15" t="s">
        <v>19</v>
      </c>
      <c r="E290" s="15" t="s">
        <v>36</v>
      </c>
      <c r="F290" s="15" t="s">
        <v>75</v>
      </c>
      <c r="G290" s="15">
        <v>9</v>
      </c>
      <c r="H290" s="17">
        <v>588.33000000000004</v>
      </c>
      <c r="I290" s="17">
        <f>G290*H290</f>
        <v>5294.97</v>
      </c>
      <c r="J290" s="15">
        <f>YEAR(B290)*100+MONTH(B290)</f>
        <v>202411</v>
      </c>
    </row>
    <row r="291" spans="1:10">
      <c r="A291" s="15">
        <v>1223</v>
      </c>
      <c r="B291" s="16" t="s">
        <v>232</v>
      </c>
      <c r="C291" s="15" t="s">
        <v>28</v>
      </c>
      <c r="D291" s="15" t="s">
        <v>23</v>
      </c>
      <c r="E291" s="15" t="s">
        <v>20</v>
      </c>
      <c r="F291" s="15" t="s">
        <v>43</v>
      </c>
      <c r="G291" s="15">
        <v>8</v>
      </c>
      <c r="H291" s="17">
        <v>38.44</v>
      </c>
      <c r="I291" s="17">
        <f>G291*H291</f>
        <v>307.52</v>
      </c>
      <c r="J291" s="15">
        <f>YEAR(B291)*100+MONTH(B291)</f>
        <v>202411</v>
      </c>
    </row>
    <row r="292" spans="1:10">
      <c r="A292" s="15">
        <v>1260</v>
      </c>
      <c r="B292" s="16" t="s">
        <v>232</v>
      </c>
      <c r="C292" s="15" t="s">
        <v>42</v>
      </c>
      <c r="D292" s="15" t="s">
        <v>19</v>
      </c>
      <c r="E292" s="15" t="s">
        <v>38</v>
      </c>
      <c r="F292" s="15" t="s">
        <v>39</v>
      </c>
      <c r="G292" s="15">
        <v>12</v>
      </c>
      <c r="H292" s="17">
        <v>372.55</v>
      </c>
      <c r="I292" s="17">
        <f>G292*H292</f>
        <v>4470.6000000000004</v>
      </c>
      <c r="J292" s="15">
        <f>YEAR(B292)*100+MONTH(B292)</f>
        <v>202411</v>
      </c>
    </row>
    <row r="293" spans="1:10">
      <c r="A293" s="15">
        <v>1226</v>
      </c>
      <c r="B293" s="16" t="s">
        <v>233</v>
      </c>
      <c r="C293" s="15" t="s">
        <v>32</v>
      </c>
      <c r="D293" s="15" t="s">
        <v>26</v>
      </c>
      <c r="E293" s="15" t="s">
        <v>36</v>
      </c>
      <c r="F293" s="15" t="s">
        <v>75</v>
      </c>
      <c r="G293" s="15">
        <v>9</v>
      </c>
      <c r="H293" s="17">
        <v>588.09</v>
      </c>
      <c r="I293" s="17">
        <f>G293*H293</f>
        <v>5292.81</v>
      </c>
      <c r="J293" s="15">
        <f>YEAR(B293)*100+MONTH(B293)</f>
        <v>202411</v>
      </c>
    </row>
    <row r="294" spans="1:10">
      <c r="A294" s="15">
        <v>1142</v>
      </c>
      <c r="B294" s="16" t="s">
        <v>234</v>
      </c>
      <c r="C294" s="15" t="s">
        <v>46</v>
      </c>
      <c r="D294" s="15" t="s">
        <v>35</v>
      </c>
      <c r="E294" s="15" t="s">
        <v>38</v>
      </c>
      <c r="F294" s="15" t="s">
        <v>52</v>
      </c>
      <c r="G294" s="15">
        <v>5</v>
      </c>
      <c r="H294" s="17">
        <v>728.87</v>
      </c>
      <c r="I294" s="17">
        <f>G294*H294</f>
        <v>3644.35</v>
      </c>
      <c r="J294" s="15">
        <f>YEAR(B294)*100+MONTH(B294)</f>
        <v>202411</v>
      </c>
    </row>
    <row r="295" spans="1:10">
      <c r="A295" s="15">
        <v>1037</v>
      </c>
      <c r="B295" s="16" t="s">
        <v>235</v>
      </c>
      <c r="C295" s="15" t="s">
        <v>33</v>
      </c>
      <c r="D295" s="15" t="s">
        <v>23</v>
      </c>
      <c r="E295" s="15" t="s">
        <v>36</v>
      </c>
      <c r="F295" s="15" t="s">
        <v>54</v>
      </c>
      <c r="G295" s="15">
        <v>4</v>
      </c>
      <c r="H295" s="17">
        <v>3329.37</v>
      </c>
      <c r="I295" s="17">
        <f>G295*H295</f>
        <v>13317.48</v>
      </c>
      <c r="J295" s="15">
        <f>YEAR(B295)*100+MONTH(B295)</f>
        <v>202411</v>
      </c>
    </row>
    <row r="296" spans="1:10">
      <c r="A296" s="15">
        <v>1133</v>
      </c>
      <c r="B296" s="16" t="s">
        <v>235</v>
      </c>
      <c r="C296" s="15" t="s">
        <v>42</v>
      </c>
      <c r="D296" s="15" t="s">
        <v>23</v>
      </c>
      <c r="E296" s="15" t="s">
        <v>24</v>
      </c>
      <c r="F296" s="15" t="s">
        <v>25</v>
      </c>
      <c r="G296" s="15">
        <v>10</v>
      </c>
      <c r="H296" s="17">
        <v>150.97</v>
      </c>
      <c r="I296" s="17">
        <f>G296*H296</f>
        <v>1509.7</v>
      </c>
      <c r="J296" s="15">
        <f>YEAR(B296)*100+MONTH(B296)</f>
        <v>202411</v>
      </c>
    </row>
    <row r="297" spans="1:10">
      <c r="A297" s="15">
        <v>1291</v>
      </c>
      <c r="B297" s="16" t="s">
        <v>235</v>
      </c>
      <c r="C297" s="15" t="s">
        <v>28</v>
      </c>
      <c r="D297" s="15" t="s">
        <v>23</v>
      </c>
      <c r="E297" s="15" t="s">
        <v>38</v>
      </c>
      <c r="F297" s="15" t="s">
        <v>39</v>
      </c>
      <c r="G297" s="15">
        <v>11</v>
      </c>
      <c r="H297" s="17">
        <v>370.18</v>
      </c>
      <c r="I297" s="17">
        <f>G297*H297</f>
        <v>4071.98</v>
      </c>
      <c r="J297" s="15">
        <f>YEAR(B297)*100+MONTH(B297)</f>
        <v>202411</v>
      </c>
    </row>
    <row r="298" spans="1:10">
      <c r="A298" s="15">
        <v>1050</v>
      </c>
      <c r="B298" s="16" t="s">
        <v>236</v>
      </c>
      <c r="C298" s="15" t="s">
        <v>33</v>
      </c>
      <c r="D298" s="15" t="s">
        <v>35</v>
      </c>
      <c r="E298" s="15" t="s">
        <v>36</v>
      </c>
      <c r="F298" s="15" t="s">
        <v>37</v>
      </c>
      <c r="G298" s="15">
        <v>2</v>
      </c>
      <c r="H298" s="17">
        <v>156.16999999999999</v>
      </c>
      <c r="I298" s="17">
        <f>G298*H298</f>
        <v>312.33999999999997</v>
      </c>
      <c r="J298" s="15">
        <f>YEAR(B298)*100+MONTH(B298)</f>
        <v>202411</v>
      </c>
    </row>
    <row r="299" spans="1:10">
      <c r="A299" s="15">
        <v>1259</v>
      </c>
      <c r="B299" s="16" t="s">
        <v>237</v>
      </c>
      <c r="C299" s="15" t="s">
        <v>46</v>
      </c>
      <c r="D299" s="15" t="s">
        <v>35</v>
      </c>
      <c r="E299" s="15" t="s">
        <v>36</v>
      </c>
      <c r="F299" s="15" t="s">
        <v>37</v>
      </c>
      <c r="G299" s="15">
        <v>6</v>
      </c>
      <c r="H299" s="17">
        <v>140.6</v>
      </c>
      <c r="I299" s="17">
        <f>G299*H299</f>
        <v>843.59999999999991</v>
      </c>
      <c r="J299" s="15">
        <f>YEAR(B299)*100+MONTH(B299)</f>
        <v>202412</v>
      </c>
    </row>
    <row r="300" spans="1:10">
      <c r="A300" s="15">
        <v>1033</v>
      </c>
      <c r="B300" s="16" t="s">
        <v>238</v>
      </c>
      <c r="C300" s="15" t="s">
        <v>32</v>
      </c>
      <c r="D300" s="15" t="s">
        <v>26</v>
      </c>
      <c r="E300" s="15" t="s">
        <v>24</v>
      </c>
      <c r="F300" s="15" t="s">
        <v>25</v>
      </c>
      <c r="G300" s="15">
        <v>8</v>
      </c>
      <c r="H300" s="17">
        <v>156.01</v>
      </c>
      <c r="I300" s="17">
        <f>G300*H300</f>
        <v>1248.08</v>
      </c>
      <c r="J300" s="15">
        <f>YEAR(B300)*100+MONTH(B300)</f>
        <v>202412</v>
      </c>
    </row>
    <row r="301" spans="1:10">
      <c r="A301" s="15">
        <v>1062</v>
      </c>
      <c r="B301" s="16" t="s">
        <v>238</v>
      </c>
      <c r="C301" s="15" t="s">
        <v>18</v>
      </c>
      <c r="D301" s="15" t="s">
        <v>35</v>
      </c>
      <c r="E301" s="15" t="s">
        <v>38</v>
      </c>
      <c r="F301" s="15" t="s">
        <v>52</v>
      </c>
      <c r="G301" s="15">
        <v>2</v>
      </c>
      <c r="H301" s="17">
        <v>673.87</v>
      </c>
      <c r="I301" s="17">
        <f>G301*H301</f>
        <v>1347.74</v>
      </c>
      <c r="J301" s="15">
        <f>YEAR(B301)*100+MONTH(B301)</f>
        <v>202412</v>
      </c>
    </row>
    <row r="302" spans="1:10">
      <c r="A302" s="15">
        <v>1074</v>
      </c>
      <c r="B302" s="16" t="s">
        <v>238</v>
      </c>
      <c r="C302" s="15" t="s">
        <v>46</v>
      </c>
      <c r="D302" s="15" t="s">
        <v>35</v>
      </c>
      <c r="E302" s="15" t="s">
        <v>36</v>
      </c>
      <c r="F302" s="15" t="s">
        <v>37</v>
      </c>
      <c r="G302" s="15">
        <v>11</v>
      </c>
      <c r="H302" s="17">
        <v>148.05000000000001</v>
      </c>
      <c r="I302" s="17">
        <f>G302*H302</f>
        <v>1628.5500000000002</v>
      </c>
      <c r="J302" s="15">
        <f>YEAR(B302)*100+MONTH(B302)</f>
        <v>202412</v>
      </c>
    </row>
    <row r="303" spans="1:10">
      <c r="A303" s="15">
        <v>1164</v>
      </c>
      <c r="B303" s="16" t="s">
        <v>238</v>
      </c>
      <c r="C303" s="15" t="s">
        <v>32</v>
      </c>
      <c r="D303" s="15" t="s">
        <v>26</v>
      </c>
      <c r="E303" s="15" t="s">
        <v>24</v>
      </c>
      <c r="F303" s="15" t="s">
        <v>25</v>
      </c>
      <c r="G303" s="15">
        <v>11</v>
      </c>
      <c r="H303" s="17">
        <v>147.37</v>
      </c>
      <c r="I303" s="17">
        <f>G303*H303</f>
        <v>1621.0700000000002</v>
      </c>
      <c r="J303" s="15">
        <f>YEAR(B303)*100+MONTH(B303)</f>
        <v>202412</v>
      </c>
    </row>
    <row r="304" spans="1:10">
      <c r="A304" s="15">
        <v>1069</v>
      </c>
      <c r="B304" s="16" t="s">
        <v>239</v>
      </c>
      <c r="C304" s="15" t="s">
        <v>42</v>
      </c>
      <c r="D304" s="15" t="s">
        <v>35</v>
      </c>
      <c r="E304" s="15" t="s">
        <v>36</v>
      </c>
      <c r="F304" s="15" t="s">
        <v>37</v>
      </c>
      <c r="G304" s="15">
        <v>11</v>
      </c>
      <c r="H304" s="17">
        <v>147.88999999999999</v>
      </c>
      <c r="I304" s="17">
        <f>G304*H304</f>
        <v>1626.79</v>
      </c>
      <c r="J304" s="15">
        <f>YEAR(B304)*100+MONTH(B304)</f>
        <v>202412</v>
      </c>
    </row>
    <row r="305" spans="1:10">
      <c r="A305" s="15">
        <v>1091</v>
      </c>
      <c r="B305" s="16" t="s">
        <v>239</v>
      </c>
      <c r="C305" s="15" t="s">
        <v>42</v>
      </c>
      <c r="D305" s="15" t="s">
        <v>19</v>
      </c>
      <c r="E305" s="15" t="s">
        <v>36</v>
      </c>
      <c r="F305" s="15" t="s">
        <v>54</v>
      </c>
      <c r="G305" s="15">
        <v>3</v>
      </c>
      <c r="H305" s="17">
        <v>3211.38</v>
      </c>
      <c r="I305" s="17">
        <f>G305*H305</f>
        <v>9634.14</v>
      </c>
      <c r="J305" s="15">
        <f>YEAR(B305)*100+MONTH(B305)</f>
        <v>202412</v>
      </c>
    </row>
    <row r="306" spans="1:10">
      <c r="A306" s="15">
        <v>1111</v>
      </c>
      <c r="B306" s="16" t="s">
        <v>239</v>
      </c>
      <c r="C306" s="15" t="s">
        <v>42</v>
      </c>
      <c r="D306" s="15" t="s">
        <v>29</v>
      </c>
      <c r="E306" s="15" t="s">
        <v>20</v>
      </c>
      <c r="F306" s="15" t="s">
        <v>21</v>
      </c>
      <c r="G306" s="15">
        <v>6</v>
      </c>
      <c r="H306" s="17">
        <v>24.8</v>
      </c>
      <c r="I306" s="17">
        <f>G306*H306</f>
        <v>148.80000000000001</v>
      </c>
      <c r="J306" s="15">
        <f>YEAR(B306)*100+MONTH(B306)</f>
        <v>202412</v>
      </c>
    </row>
    <row r="307" spans="1:10">
      <c r="A307" s="15">
        <v>1235</v>
      </c>
      <c r="B307" s="16" t="s">
        <v>240</v>
      </c>
      <c r="C307" s="15" t="s">
        <v>18</v>
      </c>
      <c r="D307" s="15" t="s">
        <v>35</v>
      </c>
      <c r="E307" s="15" t="s">
        <v>36</v>
      </c>
      <c r="F307" s="15" t="s">
        <v>75</v>
      </c>
      <c r="G307" s="15">
        <v>1</v>
      </c>
      <c r="H307" s="17">
        <v>591.66</v>
      </c>
      <c r="I307" s="17">
        <f>G307*H307</f>
        <v>591.66</v>
      </c>
      <c r="J307" s="15">
        <f>YEAR(B307)*100+MONTH(B307)</f>
        <v>202412</v>
      </c>
    </row>
    <row r="308" spans="1:10">
      <c r="A308" s="15">
        <v>1034</v>
      </c>
      <c r="B308" s="16" t="s">
        <v>241</v>
      </c>
      <c r="C308" s="15" t="s">
        <v>28</v>
      </c>
      <c r="D308" s="15" t="s">
        <v>19</v>
      </c>
      <c r="E308" s="15" t="s">
        <v>36</v>
      </c>
      <c r="F308" s="15" t="s">
        <v>54</v>
      </c>
      <c r="G308" s="15">
        <v>6</v>
      </c>
      <c r="H308" s="17">
        <v>3111.49</v>
      </c>
      <c r="I308" s="17">
        <f>G308*H308</f>
        <v>18668.939999999999</v>
      </c>
      <c r="J308" s="15">
        <f>YEAR(B308)*100+MONTH(B308)</f>
        <v>202412</v>
      </c>
    </row>
    <row r="309" spans="1:10">
      <c r="A309" s="15">
        <v>1071</v>
      </c>
      <c r="B309" s="16" t="s">
        <v>242</v>
      </c>
      <c r="C309" s="15" t="s">
        <v>46</v>
      </c>
      <c r="D309" s="15" t="s">
        <v>26</v>
      </c>
      <c r="E309" s="15" t="s">
        <v>38</v>
      </c>
      <c r="F309" s="15" t="s">
        <v>39</v>
      </c>
      <c r="G309" s="15">
        <v>7</v>
      </c>
      <c r="H309" s="17">
        <v>377.71</v>
      </c>
      <c r="I309" s="17">
        <f>G309*H309</f>
        <v>2643.97</v>
      </c>
      <c r="J309" s="15">
        <f>YEAR(B309)*100+MONTH(B309)</f>
        <v>202412</v>
      </c>
    </row>
    <row r="310" spans="1:10">
      <c r="A310" s="15">
        <v>1210</v>
      </c>
      <c r="B310" s="16" t="s">
        <v>243</v>
      </c>
      <c r="C310" s="15" t="s">
        <v>33</v>
      </c>
      <c r="D310" s="15" t="s">
        <v>23</v>
      </c>
      <c r="E310" s="15" t="s">
        <v>24</v>
      </c>
      <c r="F310" s="15" t="s">
        <v>30</v>
      </c>
      <c r="G310" s="15">
        <v>1</v>
      </c>
      <c r="H310" s="17">
        <v>191.28</v>
      </c>
      <c r="I310" s="17">
        <f>G310*H310</f>
        <v>191.28</v>
      </c>
      <c r="J310" s="15">
        <f>YEAR(B310)*100+MONTH(B310)</f>
        <v>202412</v>
      </c>
    </row>
    <row r="311" spans="1:10">
      <c r="A311" s="15">
        <v>1278</v>
      </c>
      <c r="B311" s="16" t="s">
        <v>244</v>
      </c>
      <c r="C311" s="15" t="s">
        <v>46</v>
      </c>
      <c r="D311" s="15" t="s">
        <v>29</v>
      </c>
      <c r="E311" s="15" t="s">
        <v>20</v>
      </c>
      <c r="F311" s="15" t="s">
        <v>43</v>
      </c>
      <c r="G311" s="15">
        <v>2</v>
      </c>
      <c r="H311" s="17">
        <v>38.61</v>
      </c>
      <c r="I311" s="17">
        <f>G311*H311</f>
        <v>77.22</v>
      </c>
      <c r="J311" s="15">
        <f>YEAR(B311)*100+MONTH(B311)</f>
        <v>202412</v>
      </c>
    </row>
    <row r="312" spans="1:10">
      <c r="A312" s="15">
        <v>1217</v>
      </c>
      <c r="B312" s="16" t="s">
        <v>245</v>
      </c>
      <c r="C312" s="15" t="s">
        <v>33</v>
      </c>
      <c r="D312" s="15" t="s">
        <v>23</v>
      </c>
      <c r="E312" s="15" t="s">
        <v>20</v>
      </c>
      <c r="F312" s="15" t="s">
        <v>57</v>
      </c>
      <c r="G312" s="15">
        <v>2</v>
      </c>
      <c r="H312" s="17">
        <v>14.65</v>
      </c>
      <c r="I312" s="17">
        <f>G312*H312</f>
        <v>29.3</v>
      </c>
      <c r="J312" s="15">
        <f>YEAR(B312)*100+MONTH(B312)</f>
        <v>202412</v>
      </c>
    </row>
    <row r="313" spans="1:10">
      <c r="A313" s="15">
        <v>1152</v>
      </c>
      <c r="B313" s="16" t="s">
        <v>246</v>
      </c>
      <c r="C313" s="15" t="s">
        <v>32</v>
      </c>
      <c r="D313" s="15" t="s">
        <v>29</v>
      </c>
      <c r="E313" s="15" t="s">
        <v>24</v>
      </c>
      <c r="F313" s="15" t="s">
        <v>30</v>
      </c>
      <c r="G313" s="15">
        <v>6</v>
      </c>
      <c r="H313" s="17">
        <v>176.78</v>
      </c>
      <c r="I313" s="17">
        <f>G313*H313</f>
        <v>1060.68</v>
      </c>
      <c r="J313" s="15">
        <f>YEAR(B313)*100+MONTH(B313)</f>
        <v>202412</v>
      </c>
    </row>
    <row r="314" spans="1:10">
      <c r="A314" s="15">
        <v>1040</v>
      </c>
      <c r="B314" s="16" t="s">
        <v>247</v>
      </c>
      <c r="C314" s="15" t="s">
        <v>28</v>
      </c>
      <c r="D314" s="15" t="s">
        <v>29</v>
      </c>
      <c r="E314" s="15" t="s">
        <v>24</v>
      </c>
      <c r="F314" s="15" t="s">
        <v>45</v>
      </c>
      <c r="G314" s="15">
        <v>4</v>
      </c>
      <c r="H314" s="17">
        <v>207.83</v>
      </c>
      <c r="I314" s="17">
        <f>G314*H314</f>
        <v>831.32</v>
      </c>
      <c r="J314" s="15">
        <f>YEAR(B314)*100+MONTH(B314)</f>
        <v>202412</v>
      </c>
    </row>
    <row r="315" spans="1:10">
      <c r="A315" s="15">
        <v>1100</v>
      </c>
      <c r="B315" s="16" t="s">
        <v>247</v>
      </c>
      <c r="C315" s="15" t="s">
        <v>46</v>
      </c>
      <c r="D315" s="15" t="s">
        <v>26</v>
      </c>
      <c r="E315" s="15" t="s">
        <v>20</v>
      </c>
      <c r="F315" s="15" t="s">
        <v>43</v>
      </c>
      <c r="G315" s="15">
        <v>2</v>
      </c>
      <c r="H315" s="17">
        <v>39.92</v>
      </c>
      <c r="I315" s="17">
        <f>G315*H315</f>
        <v>79.84</v>
      </c>
      <c r="J315" s="15">
        <f>YEAR(B315)*100+MONTH(B315)</f>
        <v>202412</v>
      </c>
    </row>
    <row r="316" spans="1:10">
      <c r="A316" s="15">
        <v>1176</v>
      </c>
      <c r="B316" s="16" t="s">
        <v>248</v>
      </c>
      <c r="C316" s="15" t="s">
        <v>28</v>
      </c>
      <c r="D316" s="15" t="s">
        <v>26</v>
      </c>
      <c r="E316" s="15" t="s">
        <v>20</v>
      </c>
      <c r="F316" s="15" t="s">
        <v>43</v>
      </c>
      <c r="G316" s="15">
        <v>3</v>
      </c>
      <c r="H316" s="17">
        <v>38.92</v>
      </c>
      <c r="I316" s="17">
        <f>G316*H316</f>
        <v>116.76</v>
      </c>
      <c r="J316" s="15">
        <f>YEAR(B316)*100+MONTH(B316)</f>
        <v>202412</v>
      </c>
    </row>
    <row r="317" spans="1:10">
      <c r="A317" s="15">
        <v>1250</v>
      </c>
      <c r="B317" s="16" t="s">
        <v>249</v>
      </c>
      <c r="C317" s="15" t="s">
        <v>28</v>
      </c>
      <c r="D317" s="15" t="s">
        <v>35</v>
      </c>
      <c r="E317" s="15" t="s">
        <v>24</v>
      </c>
      <c r="F317" s="15" t="s">
        <v>25</v>
      </c>
      <c r="G317" s="15">
        <v>2</v>
      </c>
      <c r="H317" s="17">
        <v>160</v>
      </c>
      <c r="I317" s="17">
        <f>G317*H317</f>
        <v>320</v>
      </c>
      <c r="J317" s="15">
        <f>YEAR(B317)*100+MONTH(B317)</f>
        <v>202412</v>
      </c>
    </row>
    <row r="318" spans="1:10">
      <c r="A318" s="15">
        <v>1067</v>
      </c>
      <c r="B318" s="16" t="s">
        <v>250</v>
      </c>
      <c r="C318" s="15" t="s">
        <v>32</v>
      </c>
      <c r="D318" s="15" t="s">
        <v>19</v>
      </c>
      <c r="E318" s="15" t="s">
        <v>24</v>
      </c>
      <c r="F318" s="15" t="s">
        <v>45</v>
      </c>
      <c r="G318" s="15">
        <v>9</v>
      </c>
      <c r="H318" s="17">
        <v>217.27</v>
      </c>
      <c r="I318" s="17">
        <f>G318*H318</f>
        <v>1955.43</v>
      </c>
      <c r="J318" s="15">
        <f>YEAR(B318)*100+MONTH(B318)</f>
        <v>202412</v>
      </c>
    </row>
    <row r="319" spans="1:10">
      <c r="A319" s="15">
        <v>1103</v>
      </c>
      <c r="B319" s="16" t="s">
        <v>250</v>
      </c>
      <c r="C319" s="15" t="s">
        <v>32</v>
      </c>
      <c r="D319" s="15" t="s">
        <v>35</v>
      </c>
      <c r="E319" s="15" t="s">
        <v>38</v>
      </c>
      <c r="F319" s="15" t="s">
        <v>52</v>
      </c>
      <c r="G319" s="15">
        <v>9</v>
      </c>
      <c r="H319" s="17">
        <v>660.03</v>
      </c>
      <c r="I319" s="17">
        <f>G319*H319</f>
        <v>5940.2699999999995</v>
      </c>
      <c r="J319" s="15">
        <f>YEAR(B319)*100+MONTH(B319)</f>
        <v>202412</v>
      </c>
    </row>
    <row r="320" spans="1:10">
      <c r="A320" s="15">
        <v>1245</v>
      </c>
      <c r="B320" s="16" t="s">
        <v>251</v>
      </c>
      <c r="C320" s="15" t="s">
        <v>18</v>
      </c>
      <c r="D320" s="15" t="s">
        <v>23</v>
      </c>
      <c r="E320" s="15" t="s">
        <v>36</v>
      </c>
      <c r="F320" s="15" t="s">
        <v>37</v>
      </c>
      <c r="G320" s="15">
        <v>3</v>
      </c>
      <c r="H320" s="17">
        <v>139.63999999999999</v>
      </c>
      <c r="I320" s="17">
        <f>G320*H320</f>
        <v>418.91999999999996</v>
      </c>
      <c r="J320" s="15">
        <f>YEAR(B320)*100+MONTH(B320)</f>
        <v>202412</v>
      </c>
    </row>
    <row r="321" spans="1:10">
      <c r="A321" s="15">
        <v>1027</v>
      </c>
      <c r="B321" s="16" t="s">
        <v>252</v>
      </c>
      <c r="C321" s="15" t="s">
        <v>18</v>
      </c>
      <c r="D321" s="15" t="s">
        <v>23</v>
      </c>
      <c r="E321" s="15" t="s">
        <v>20</v>
      </c>
      <c r="F321" s="15" t="s">
        <v>21</v>
      </c>
      <c r="G321" s="15">
        <v>11</v>
      </c>
      <c r="H321" s="17">
        <v>26.23</v>
      </c>
      <c r="I321" s="17">
        <f>G321*H321</f>
        <v>288.53000000000003</v>
      </c>
      <c r="J321" s="15">
        <f>YEAR(B321)*100+MONTH(B321)</f>
        <v>202412</v>
      </c>
    </row>
  </sheetData>
  <autoFilter ref="A1:J32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D58"/>
  <sheetViews>
    <sheetView showGridLines="0" tabSelected="1" topLeftCell="A40" zoomScaleNormal="100" workbookViewId="0">
      <selection activeCell="A46" sqref="A46:C58"/>
    </sheetView>
  </sheetViews>
  <sheetFormatPr defaultColWidth="8.7109375" defaultRowHeight="15"/>
  <cols>
    <col min="1" max="1" width="20" customWidth="1"/>
    <col min="2" max="2" width="16" customWidth="1"/>
    <col min="3" max="4" width="14" customWidth="1"/>
  </cols>
  <sheetData>
    <row r="1" spans="1:4" ht="15.75">
      <c r="A1" s="18" t="s">
        <v>253</v>
      </c>
    </row>
    <row r="2" spans="1:4">
      <c r="A2" s="19" t="s">
        <v>16</v>
      </c>
      <c r="B2" s="19" t="s">
        <v>254</v>
      </c>
      <c r="C2" s="19" t="s">
        <v>255</v>
      </c>
      <c r="D2" s="14" t="s">
        <v>256</v>
      </c>
    </row>
    <row r="3" spans="1:4">
      <c r="A3" s="15" t="s">
        <v>257</v>
      </c>
      <c r="B3" s="17">
        <f>SUMIF(Dados!$J$2:$J$321,D3,Dados!$I$2:$I$321)</f>
        <v>51480.560000000005</v>
      </c>
      <c r="C3" s="15">
        <f>COUNTIF(Dados!$J$2:$J$321,D3)</f>
        <v>27</v>
      </c>
      <c r="D3" s="15">
        <v>202401</v>
      </c>
    </row>
    <row r="4" spans="1:4">
      <c r="A4" s="15" t="s">
        <v>258</v>
      </c>
      <c r="B4" s="17">
        <f>SUMIF(Dados!$J$2:$J$321,D4,Dados!$I$2:$I$321)</f>
        <v>64042.62</v>
      </c>
      <c r="C4" s="15">
        <f>COUNTIF(Dados!$J$2:$J$321,D4)</f>
        <v>25</v>
      </c>
      <c r="D4" s="15">
        <v>202402</v>
      </c>
    </row>
    <row r="5" spans="1:4">
      <c r="A5" s="15" t="s">
        <v>259</v>
      </c>
      <c r="B5" s="17">
        <f>SUMIF(Dados!$J$2:$J$321,D5,Dados!$I$2:$I$321)</f>
        <v>61096.909999999996</v>
      </c>
      <c r="C5" s="15">
        <f>COUNTIF(Dados!$J$2:$J$321,D5)</f>
        <v>27</v>
      </c>
      <c r="D5" s="15">
        <v>202403</v>
      </c>
    </row>
    <row r="6" spans="1:4">
      <c r="A6" s="15" t="s">
        <v>260</v>
      </c>
      <c r="B6" s="17">
        <f>SUMIF(Dados!$J$2:$J$321,D6,Dados!$I$2:$I$321)</f>
        <v>49857.97</v>
      </c>
      <c r="C6" s="15">
        <f>COUNTIF(Dados!$J$2:$J$321,D6)</f>
        <v>25</v>
      </c>
      <c r="D6" s="15">
        <v>202404</v>
      </c>
    </row>
    <row r="7" spans="1:4">
      <c r="A7" s="15" t="s">
        <v>261</v>
      </c>
      <c r="B7" s="17">
        <f>SUMIF(Dados!$J$2:$J$321,D7,Dados!$I$2:$I$321)</f>
        <v>119765.86</v>
      </c>
      <c r="C7" s="15">
        <f>COUNTIF(Dados!$J$2:$J$321,D7)</f>
        <v>30</v>
      </c>
      <c r="D7" s="15">
        <v>202405</v>
      </c>
    </row>
    <row r="8" spans="1:4">
      <c r="A8" s="15" t="s">
        <v>262</v>
      </c>
      <c r="B8" s="17">
        <f>SUMIF(Dados!$J$2:$J$321,D8,Dados!$I$2:$I$321)</f>
        <v>84387.810000000012</v>
      </c>
      <c r="C8" s="15">
        <f>COUNTIF(Dados!$J$2:$J$321,D8)</f>
        <v>26</v>
      </c>
      <c r="D8" s="15">
        <v>202406</v>
      </c>
    </row>
    <row r="9" spans="1:4">
      <c r="A9" s="15" t="s">
        <v>263</v>
      </c>
      <c r="B9" s="17">
        <f>SUMIF(Dados!$J$2:$J$321,D9,Dados!$I$2:$I$321)</f>
        <v>82219.730000000025</v>
      </c>
      <c r="C9" s="15">
        <f>COUNTIF(Dados!$J$2:$J$321,D9)</f>
        <v>36</v>
      </c>
      <c r="D9" s="15">
        <v>202407</v>
      </c>
    </row>
    <row r="10" spans="1:4">
      <c r="A10" s="15" t="s">
        <v>264</v>
      </c>
      <c r="B10" s="17">
        <f>SUMIF(Dados!$J$2:$J$321,D10,Dados!$I$2:$I$321)</f>
        <v>82631.739999999976</v>
      </c>
      <c r="C10" s="15">
        <f>COUNTIF(Dados!$J$2:$J$321,D10)</f>
        <v>21</v>
      </c>
      <c r="D10" s="15">
        <v>202408</v>
      </c>
    </row>
    <row r="11" spans="1:4">
      <c r="A11" s="15" t="s">
        <v>265</v>
      </c>
      <c r="B11" s="17">
        <f>SUMIF(Dados!$J$2:$J$321,D11,Dados!$I$2:$I$321)</f>
        <v>47679.820000000007</v>
      </c>
      <c r="C11" s="15">
        <f>COUNTIF(Dados!$J$2:$J$321,D11)</f>
        <v>16</v>
      </c>
      <c r="D11" s="15">
        <v>202409</v>
      </c>
    </row>
    <row r="12" spans="1:4">
      <c r="A12" s="15" t="s">
        <v>266</v>
      </c>
      <c r="B12" s="17">
        <f>SUMIF(Dados!$J$2:$J$321,D12,Dados!$I$2:$I$321)</f>
        <v>198558.6</v>
      </c>
      <c r="C12" s="15">
        <f>COUNTIF(Dados!$J$2:$J$321,D12)</f>
        <v>28</v>
      </c>
      <c r="D12" s="15">
        <v>202410</v>
      </c>
    </row>
    <row r="13" spans="1:4">
      <c r="A13" s="15" t="s">
        <v>267</v>
      </c>
      <c r="B13" s="17">
        <f>SUMIF(Dados!$J$2:$J$321,D13,Dados!$I$2:$I$321)</f>
        <v>185837.48</v>
      </c>
      <c r="C13" s="15">
        <f>COUNTIF(Dados!$J$2:$J$321,D13)</f>
        <v>36</v>
      </c>
      <c r="D13" s="15">
        <v>202411</v>
      </c>
    </row>
    <row r="14" spans="1:4">
      <c r="A14" s="15" t="s">
        <v>268</v>
      </c>
      <c r="B14" s="17">
        <f>SUMIF(Dados!$J$2:$J$321,D14,Dados!$I$2:$I$321)</f>
        <v>51312.889999999992</v>
      </c>
      <c r="C14" s="15">
        <f>COUNTIF(Dados!$J$2:$J$321,D14)</f>
        <v>23</v>
      </c>
      <c r="D14" s="15">
        <v>202412</v>
      </c>
    </row>
    <row r="17" spans="1:2" ht="15.75">
      <c r="A17" s="18" t="s">
        <v>269</v>
      </c>
    </row>
    <row r="18" spans="1:2">
      <c r="A18" s="19" t="s">
        <v>10</v>
      </c>
      <c r="B18" s="19" t="s">
        <v>254</v>
      </c>
    </row>
    <row r="19" spans="1:2">
      <c r="A19" s="15" t="s">
        <v>23</v>
      </c>
      <c r="B19" s="17">
        <f>SUMIF(Dados!$D$2:$D$321,A19,Dados!$I$2:$I$321)</f>
        <v>231233.98999999996</v>
      </c>
    </row>
    <row r="20" spans="1:2">
      <c r="A20" s="15" t="s">
        <v>35</v>
      </c>
      <c r="B20" s="17">
        <f>SUMIF(Dados!$D$2:$D$321,A20,Dados!$I$2:$I$321)</f>
        <v>219465.78999999998</v>
      </c>
    </row>
    <row r="21" spans="1:2">
      <c r="A21" s="15" t="s">
        <v>29</v>
      </c>
      <c r="B21" s="17">
        <f>SUMIF(Dados!$D$2:$D$321,A21,Dados!$I$2:$I$321)</f>
        <v>230502.65</v>
      </c>
    </row>
    <row r="22" spans="1:2">
      <c r="A22" s="15" t="s">
        <v>26</v>
      </c>
      <c r="B22" s="17">
        <f>SUMIF(Dados!$D$2:$D$321,A22,Dados!$I$2:$I$321)</f>
        <v>212229.56000000003</v>
      </c>
    </row>
    <row r="23" spans="1:2">
      <c r="A23" s="15" t="s">
        <v>19</v>
      </c>
      <c r="B23" s="17">
        <f>SUMIF(Dados!$D$2:$D$321,A23,Dados!$I$2:$I$321)</f>
        <v>185440</v>
      </c>
    </row>
    <row r="26" spans="1:2" ht="15.75">
      <c r="A26" s="18" t="s">
        <v>270</v>
      </c>
    </row>
    <row r="27" spans="1:2">
      <c r="A27" s="19" t="s">
        <v>11</v>
      </c>
      <c r="B27" s="19" t="s">
        <v>254</v>
      </c>
    </row>
    <row r="28" spans="1:2">
      <c r="A28" s="15" t="s">
        <v>24</v>
      </c>
      <c r="B28" s="17">
        <f>SUMIF(Dados!$E$2:$E$321,A28,Dados!$I$2:$I$321)</f>
        <v>100839.95</v>
      </c>
    </row>
    <row r="29" spans="1:2">
      <c r="A29" s="15" t="s">
        <v>36</v>
      </c>
      <c r="B29" s="17">
        <f>SUMIF(Dados!$E$2:$E$321,A29,Dados!$I$2:$I$321)</f>
        <v>675355.60999999987</v>
      </c>
    </row>
    <row r="30" spans="1:2">
      <c r="A30" s="15" t="s">
        <v>38</v>
      </c>
      <c r="B30" s="17">
        <f>SUMIF(Dados!$E$2:$E$321,A30,Dados!$I$2:$I$321)</f>
        <v>288548.94999999995</v>
      </c>
    </row>
    <row r="31" spans="1:2">
      <c r="A31" s="15" t="s">
        <v>20</v>
      </c>
      <c r="B31" s="17">
        <f>SUMIF(Dados!$E$2:$E$321,A31,Dados!$I$2:$I$321)</f>
        <v>14127.479999999998</v>
      </c>
    </row>
    <row r="34" spans="1:4" ht="15.75">
      <c r="A34" s="18" t="s">
        <v>271</v>
      </c>
    </row>
    <row r="35" spans="1:4">
      <c r="A35" s="19" t="s">
        <v>9</v>
      </c>
      <c r="B35" s="19" t="s">
        <v>254</v>
      </c>
      <c r="C35" s="19" t="s">
        <v>255</v>
      </c>
      <c r="D35" s="19" t="s">
        <v>272</v>
      </c>
    </row>
    <row r="36" spans="1:4">
      <c r="A36" s="15" t="s">
        <v>28</v>
      </c>
      <c r="B36" s="17">
        <f>SUMIF(Dados!$C$2:$C$321,A36,Dados!$I$2:$I$321)</f>
        <v>142375.54000000004</v>
      </c>
      <c r="C36" s="15">
        <f>COUNTIF(Dados!$C$2:$C$321,A36)</f>
        <v>36</v>
      </c>
      <c r="D36" s="17">
        <f>IFERROR(B36/C36,0)</f>
        <v>3954.8761111111121</v>
      </c>
    </row>
    <row r="37" spans="1:4">
      <c r="A37" s="15" t="s">
        <v>33</v>
      </c>
      <c r="B37" s="17">
        <f>SUMIF(Dados!$C$2:$C$321,A37,Dados!$I$2:$I$321)</f>
        <v>214665.30999999994</v>
      </c>
      <c r="C37" s="15">
        <f>COUNTIF(Dados!$C$2:$C$321,A37)</f>
        <v>62</v>
      </c>
      <c r="D37" s="17">
        <f>IFERROR(B37/C37,0)</f>
        <v>3462.3437096774182</v>
      </c>
    </row>
    <row r="38" spans="1:4">
      <c r="A38" s="15" t="s">
        <v>18</v>
      </c>
      <c r="B38" s="17">
        <f>SUMIF(Dados!$C$2:$C$321,A38,Dados!$I$2:$I$321)</f>
        <v>193790.86000000002</v>
      </c>
      <c r="C38" s="15">
        <f>COUNTIF(Dados!$C$2:$C$321,A38)</f>
        <v>52</v>
      </c>
      <c r="D38" s="17">
        <f>IFERROR(B38/C38,0)</f>
        <v>3726.7473076923079</v>
      </c>
    </row>
    <row r="39" spans="1:4">
      <c r="A39" s="15" t="s">
        <v>42</v>
      </c>
      <c r="B39" s="17">
        <f>SUMIF(Dados!$C$2:$C$321,A39,Dados!$I$2:$I$321)</f>
        <v>138858.88</v>
      </c>
      <c r="C39" s="15">
        <f>COUNTIF(Dados!$C$2:$C$321,A39)</f>
        <v>50</v>
      </c>
      <c r="D39" s="17">
        <f>IFERROR(B39/C39,0)</f>
        <v>2777.1776</v>
      </c>
    </row>
    <row r="40" spans="1:4">
      <c r="A40" s="15" t="s">
        <v>46</v>
      </c>
      <c r="B40" s="17">
        <f>SUMIF(Dados!$C$2:$C$321,A40,Dados!$I$2:$I$321)</f>
        <v>203141.75999999998</v>
      </c>
      <c r="C40" s="15">
        <f>COUNTIF(Dados!$C$2:$C$321,A40)</f>
        <v>61</v>
      </c>
      <c r="D40" s="17">
        <f>IFERROR(B40/C40,0)</f>
        <v>3330.1927868852454</v>
      </c>
    </row>
    <row r="41" spans="1:4">
      <c r="A41" s="15" t="s">
        <v>32</v>
      </c>
      <c r="B41" s="17">
        <f>SUMIF(Dados!$C$2:$C$321,A41,Dados!$I$2:$I$321)</f>
        <v>186039.63999999996</v>
      </c>
      <c r="C41" s="15">
        <f>COUNTIF(Dados!$C$2:$C$321,A41)</f>
        <v>59</v>
      </c>
      <c r="D41" s="17">
        <f>IFERROR(B41/C41,0)</f>
        <v>3153.2142372881349</v>
      </c>
    </row>
    <row r="44" spans="1:4" ht="15.75">
      <c r="A44" s="18" t="s">
        <v>273</v>
      </c>
    </row>
    <row r="45" spans="1:4">
      <c r="A45" s="19" t="s">
        <v>12</v>
      </c>
      <c r="B45" s="19" t="s">
        <v>254</v>
      </c>
      <c r="C45" s="19" t="s">
        <v>13</v>
      </c>
    </row>
    <row r="46" spans="1:4">
      <c r="A46" s="15" t="s">
        <v>43</v>
      </c>
      <c r="B46" s="17">
        <f>SUMIF(Dados!$F$2:$F$321,A46,Dados!$I$2:$I$321)</f>
        <v>7985.800000000002</v>
      </c>
      <c r="C46" s="15">
        <f>SUMIF(Dados!$F$2:$F$321,A46,Dados!$G$2:$G$321)</f>
        <v>200</v>
      </c>
    </row>
    <row r="47" spans="1:4">
      <c r="A47" s="15" t="s">
        <v>49</v>
      </c>
      <c r="B47" s="17">
        <f>SUMIF(Dados!$F$2:$F$321,A47,Dados!$I$2:$I$321)</f>
        <v>82143.509999999995</v>
      </c>
      <c r="C47" s="15">
        <f>SUMIF(Dados!$F$2:$F$321,A47,Dados!$G$2:$G$321)</f>
        <v>186</v>
      </c>
    </row>
    <row r="48" spans="1:4">
      <c r="A48" s="15" t="s">
        <v>57</v>
      </c>
      <c r="B48" s="17">
        <f>SUMIF(Dados!$F$2:$F$321,A48,Dados!$I$2:$I$321)</f>
        <v>3048.2700000000009</v>
      </c>
      <c r="C48" s="15">
        <f>SUMIF(Dados!$F$2:$F$321,A48,Dados!$G$2:$G$321)</f>
        <v>209</v>
      </c>
    </row>
    <row r="49" spans="1:3">
      <c r="A49" s="15" t="s">
        <v>45</v>
      </c>
      <c r="B49" s="17">
        <f>SUMIF(Dados!$F$2:$F$321,A49,Dados!$I$2:$I$321)</f>
        <v>35715.659999999996</v>
      </c>
      <c r="C49" s="15">
        <f>SUMIF(Dados!$F$2:$F$321,A49,Dados!$G$2:$G$321)</f>
        <v>164</v>
      </c>
    </row>
    <row r="50" spans="1:3">
      <c r="A50" s="15" t="s">
        <v>39</v>
      </c>
      <c r="B50" s="17">
        <f>SUMIF(Dados!$F$2:$F$321,A50,Dados!$I$2:$I$321)</f>
        <v>84029.500000000015</v>
      </c>
      <c r="C50" s="15">
        <f>SUMIF(Dados!$F$2:$F$321,A50,Dados!$G$2:$G$321)</f>
        <v>226</v>
      </c>
    </row>
    <row r="51" spans="1:3">
      <c r="A51" s="15" t="s">
        <v>37</v>
      </c>
      <c r="B51" s="17">
        <f>SUMIF(Dados!$F$2:$F$321,A51,Dados!$I$2:$I$321)</f>
        <v>22829.109999999997</v>
      </c>
      <c r="C51" s="15">
        <f>SUMIF(Dados!$F$2:$F$321,A51,Dados!$G$2:$G$321)</f>
        <v>154</v>
      </c>
    </row>
    <row r="52" spans="1:3">
      <c r="A52" s="15" t="s">
        <v>21</v>
      </c>
      <c r="B52" s="17">
        <f>SUMIF(Dados!$F$2:$F$321,A52,Dados!$I$2:$I$321)</f>
        <v>3093.4100000000008</v>
      </c>
      <c r="C52" s="15">
        <f>SUMIF(Dados!$F$2:$F$321,A52,Dados!$G$2:$G$321)</f>
        <v>124</v>
      </c>
    </row>
    <row r="53" spans="1:3">
      <c r="A53" s="15" t="s">
        <v>25</v>
      </c>
      <c r="B53" s="17">
        <f>SUMIF(Dados!$F$2:$F$321,A53,Dados!$I$2:$I$321)</f>
        <v>38067.17</v>
      </c>
      <c r="C53" s="15">
        <f>SUMIF(Dados!$F$2:$F$321,A53,Dados!$G$2:$G$321)</f>
        <v>241</v>
      </c>
    </row>
    <row r="54" spans="1:3">
      <c r="A54" s="15" t="s">
        <v>52</v>
      </c>
      <c r="B54" s="17">
        <f>SUMIF(Dados!$F$2:$F$321,A54,Dados!$I$2:$I$321)</f>
        <v>122375.93999999999</v>
      </c>
      <c r="C54" s="15">
        <f>SUMIF(Dados!$F$2:$F$321,A54,Dados!$G$2:$G$321)</f>
        <v>178</v>
      </c>
    </row>
    <row r="55" spans="1:3">
      <c r="A55" s="15" t="s">
        <v>54</v>
      </c>
      <c r="B55" s="17">
        <f>SUMIF(Dados!$F$2:$F$321,A55,Dados!$I$2:$I$321)</f>
        <v>412823.08999999991</v>
      </c>
      <c r="C55" s="15">
        <f>SUMIF(Dados!$F$2:$F$321,A55,Dados!$G$2:$G$321)</f>
        <v>132</v>
      </c>
    </row>
    <row r="56" spans="1:3">
      <c r="A56" s="15" t="s">
        <v>80</v>
      </c>
      <c r="B56" s="17">
        <f>SUMIF(Dados!$F$2:$F$321,A56,Dados!$I$2:$I$321)</f>
        <v>156802.97</v>
      </c>
      <c r="C56" s="15">
        <f>SUMIF(Dados!$F$2:$F$321,A56,Dados!$G$2:$G$321)</f>
        <v>89</v>
      </c>
    </row>
    <row r="57" spans="1:3">
      <c r="A57" s="15" t="s">
        <v>75</v>
      </c>
      <c r="B57" s="17">
        <f>SUMIF(Dados!$F$2:$F$321,A57,Dados!$I$2:$I$321)</f>
        <v>82900.44</v>
      </c>
      <c r="C57" s="15">
        <f>SUMIF(Dados!$F$2:$F$321,A57,Dados!$G$2:$G$321)</f>
        <v>142</v>
      </c>
    </row>
    <row r="58" spans="1:3">
      <c r="A58" s="15" t="s">
        <v>30</v>
      </c>
      <c r="B58" s="17">
        <f>SUMIF(Dados!$F$2:$F$321,A58,Dados!$I$2:$I$321)</f>
        <v>27057.120000000003</v>
      </c>
      <c r="C58" s="15">
        <f>SUMIF(Dados!$F$2:$F$321,A58,Dados!$G$2:$G$321)</f>
        <v>144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2026-09-16T00:12:18Z</dcterms:created>
  <dcterms:modified xsi:type="dcterms:W3CDTF">2026-09-16T23:07:49Z</dcterms:modified>
  <cp:category/>
  <cp:contentStatus/>
</cp:coreProperties>
</file>